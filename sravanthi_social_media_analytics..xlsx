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ravanthi\Downloads\"/>
    </mc:Choice>
  </mc:AlternateContent>
  <xr:revisionPtr revIDLastSave="0" documentId="13_ncr:1_{49E50DF9-6A76-4AB0-A466-7B0B08A73955}" xr6:coauthVersionLast="47" xr6:coauthVersionMax="47" xr10:uidLastSave="{00000000-0000-0000-0000-000000000000}"/>
  <bookViews>
    <workbookView xWindow="-108" yWindow="-108" windowWidth="23256" windowHeight="14616" activeTab="3" xr2:uid="{DE322E55-8936-4AAC-A2E0-E62A7822EE44}"/>
  </bookViews>
  <sheets>
    <sheet name="Project overview" sheetId="1" r:id="rId1"/>
    <sheet name="Content Tracker" sheetId="2" r:id="rId2"/>
    <sheet name="Summary Pivots" sheetId="3" r:id="rId3"/>
    <sheet name="Dashboard" sheetId="4" r:id="rId4"/>
  </sheets>
  <definedNames>
    <definedName name="NativeTimeline_Date">#N/A</definedName>
    <definedName name="Slicer_Content_Type">#N/A</definedName>
    <definedName name="Slicer_Months">#N/A</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2" l="1"/>
  <c r="K53" i="2"/>
  <c r="M53" i="2" s="1"/>
  <c r="L52" i="2"/>
  <c r="K52" i="2"/>
  <c r="M52" i="2" s="1"/>
  <c r="L51" i="2"/>
  <c r="K51" i="2"/>
  <c r="M51" i="2" s="1"/>
  <c r="M50" i="2"/>
  <c r="L50" i="2"/>
  <c r="K50" i="2"/>
  <c r="L49" i="2"/>
  <c r="K49" i="2"/>
  <c r="M49" i="2" s="1"/>
  <c r="L48" i="2"/>
  <c r="K48" i="2"/>
  <c r="M48" i="2" s="1"/>
  <c r="L47" i="2"/>
  <c r="K47" i="2"/>
  <c r="M47" i="2" s="1"/>
  <c r="L46" i="2"/>
  <c r="K46" i="2"/>
  <c r="M46" i="2" s="1"/>
  <c r="M45" i="2"/>
  <c r="L45" i="2"/>
  <c r="K45" i="2"/>
  <c r="M44" i="2"/>
  <c r="L44" i="2"/>
  <c r="K44" i="2"/>
  <c r="L43" i="2"/>
  <c r="K43" i="2"/>
  <c r="M43" i="2" s="1"/>
  <c r="L42" i="2"/>
  <c r="K42" i="2"/>
  <c r="M42" i="2" s="1"/>
  <c r="M41" i="2"/>
  <c r="L41" i="2"/>
  <c r="K41" i="2"/>
  <c r="M40" i="2"/>
  <c r="L40" i="2"/>
  <c r="K40" i="2"/>
  <c r="L39" i="2"/>
  <c r="K39" i="2"/>
  <c r="M39" i="2" s="1"/>
  <c r="L38" i="2"/>
  <c r="K38" i="2"/>
  <c r="M38" i="2" s="1"/>
  <c r="M37" i="2"/>
  <c r="L37" i="2"/>
  <c r="K37" i="2"/>
  <c r="M36" i="2"/>
  <c r="L36" i="2"/>
  <c r="K36" i="2"/>
  <c r="L35" i="2"/>
  <c r="K35" i="2"/>
  <c r="M35" i="2" s="1"/>
  <c r="L34" i="2"/>
  <c r="K34" i="2"/>
  <c r="M34" i="2" s="1"/>
  <c r="M33" i="2"/>
  <c r="L33" i="2"/>
  <c r="K33" i="2"/>
  <c r="M32" i="2"/>
  <c r="L32" i="2"/>
  <c r="K32" i="2"/>
  <c r="L31" i="2"/>
  <c r="K31" i="2"/>
  <c r="M31" i="2" s="1"/>
  <c r="L30" i="2"/>
  <c r="K30" i="2"/>
  <c r="M30" i="2" s="1"/>
  <c r="M29" i="2"/>
  <c r="L29" i="2"/>
  <c r="K29" i="2"/>
  <c r="M28" i="2"/>
  <c r="L28" i="2"/>
  <c r="K28" i="2"/>
  <c r="L27" i="2"/>
  <c r="K27" i="2"/>
  <c r="M27" i="2" s="1"/>
  <c r="L26" i="2"/>
  <c r="K26" i="2"/>
  <c r="M26" i="2" s="1"/>
  <c r="M25" i="2"/>
  <c r="L25" i="2"/>
  <c r="K25" i="2"/>
  <c r="M24" i="2"/>
  <c r="L24" i="2"/>
  <c r="K24" i="2"/>
  <c r="L23" i="2"/>
  <c r="K23" i="2"/>
  <c r="M23" i="2" s="1"/>
  <c r="L22" i="2"/>
  <c r="K22" i="2"/>
  <c r="M22" i="2" s="1"/>
  <c r="M21" i="2"/>
  <c r="L21" i="2"/>
  <c r="K21" i="2"/>
  <c r="M20" i="2"/>
  <c r="L20" i="2"/>
  <c r="K20" i="2"/>
  <c r="L19" i="2"/>
  <c r="K19" i="2"/>
  <c r="M19" i="2" s="1"/>
  <c r="L18" i="2"/>
  <c r="K18" i="2"/>
  <c r="M18" i="2" s="1"/>
  <c r="M17" i="2"/>
  <c r="L17" i="2"/>
  <c r="K17" i="2"/>
  <c r="M16" i="2"/>
  <c r="L16" i="2"/>
  <c r="K16" i="2"/>
  <c r="L15" i="2"/>
  <c r="K15" i="2"/>
  <c r="M15" i="2" s="1"/>
  <c r="L14" i="2"/>
  <c r="K14" i="2"/>
  <c r="M14" i="2" s="1"/>
  <c r="M13" i="2"/>
  <c r="L13" i="2"/>
  <c r="K13" i="2"/>
  <c r="M12" i="2"/>
  <c r="L12" i="2"/>
  <c r="K12" i="2"/>
  <c r="L11" i="2"/>
  <c r="K11" i="2"/>
  <c r="M11" i="2" s="1"/>
  <c r="L10" i="2"/>
  <c r="K10" i="2"/>
  <c r="M10" i="2" s="1"/>
  <c r="L9" i="2"/>
  <c r="K9" i="2"/>
  <c r="M9" i="2" s="1"/>
  <c r="M8" i="2"/>
  <c r="L8" i="2"/>
  <c r="K8" i="2"/>
  <c r="L7" i="2"/>
  <c r="K7" i="2"/>
  <c r="M7" i="2" s="1"/>
  <c r="L6" i="2"/>
  <c r="K6" i="2"/>
  <c r="M6" i="2" s="1"/>
  <c r="M5" i="2"/>
  <c r="L5" i="2"/>
  <c r="K5" i="2"/>
  <c r="M4" i="2"/>
  <c r="L4" i="2"/>
  <c r="K4" i="2"/>
  <c r="L3" i="2"/>
  <c r="K3" i="2"/>
  <c r="M3" i="2" s="1"/>
  <c r="L2" i="2"/>
  <c r="K2" i="2"/>
  <c r="M2" i="2" s="1"/>
</calcChain>
</file>

<file path=xl/sharedStrings.xml><?xml version="1.0" encoding="utf-8"?>
<sst xmlns="http://schemas.openxmlformats.org/spreadsheetml/2006/main" count="256" uniqueCount="94">
  <si>
    <t>Date</t>
  </si>
  <si>
    <t>Platform</t>
  </si>
  <si>
    <t>Content Type</t>
  </si>
  <si>
    <t>Caption/Hashtags</t>
  </si>
  <si>
    <t>Engagement Type</t>
  </si>
  <si>
    <t>Views</t>
  </si>
  <si>
    <t>Likes</t>
  </si>
  <si>
    <t>Comments</t>
  </si>
  <si>
    <t xml:space="preserve">Shares </t>
  </si>
  <si>
    <t>Saves</t>
  </si>
  <si>
    <t>Engagment rate %</t>
  </si>
  <si>
    <t>Months</t>
  </si>
  <si>
    <t>Total Engagment</t>
  </si>
  <si>
    <t>Instagram</t>
  </si>
  <si>
    <t>Product Swatch</t>
  </si>
  <si>
    <t>#beauty #swatch #WinterProducts 
#PinkMakeup</t>
  </si>
  <si>
    <t>Post</t>
  </si>
  <si>
    <t>TikTok</t>
  </si>
  <si>
    <t>Unboxing</t>
  </si>
  <si>
    <t>You need this! 
#Unboxing #GirlyThings 
#MinimalBeauty</t>
  </si>
  <si>
    <t>Video</t>
  </si>
  <si>
    <t>Aesthetic Shots</t>
  </si>
  <si>
    <t>Clean vibes #Minimalism #NeutralTones #WinterGlow</t>
  </si>
  <si>
    <t>Trending shades #Beauty #BrownLipGloss #SoftGlam</t>
  </si>
  <si>
    <t>Pinterest haul #BeautyLovers #PinkProducts #AestheticBeauty</t>
  </si>
  <si>
    <t>#SoftGlam #PinterestStyle #ValentinesDayVibes</t>
  </si>
  <si>
    <t>Story</t>
  </si>
  <si>
    <t>N/A</t>
  </si>
  <si>
    <t>#HandArt #BeautyLovers #WinterMakeup #NeutralProducts</t>
  </si>
  <si>
    <t>New beauty must-haves! #GirlyThings #AestheticProducts #LuxuryUnboxing</t>
  </si>
  <si>
    <t>Soft tones #NeutralBeauty #MinimalVibes #EverydayMakeup</t>
  </si>
  <si>
    <t>Swatch party #BeautyBlog #PinkShades #SpringReady</t>
  </si>
  <si>
    <t>These are my favourites! #FallProducts #BrownLipGloss #GirlyEssentials</t>
  </si>
  <si>
    <t>#AestheticVibes #MinimalistBeauty #BrownTones</t>
  </si>
  <si>
    <t>Swatch party #NeutralShades #SoftGlam #LipSwatches</t>
  </si>
  <si>
    <t>These new shades are stunning! #BeautyProducts #GirlyThings #LuxuryHaul</t>
  </si>
  <si>
    <t>Pink spring vibes #BlushProducts #PrettyInPink</t>
  </si>
  <si>
    <t>Best neutral palette #SwatchTime #MinimalMakeup</t>
  </si>
  <si>
    <t>Neutral essentials #FallFavourites #BrownBeauty</t>
  </si>
  <si>
    <t>Summer glow essentials #GlowUp #BeautyVibes</t>
  </si>
  <si>
    <t>#BeachReady #TropicalVibes #SummerMakeup</t>
  </si>
  <si>
    <t>Unbox with me! #LuxuryBeauty #SummerMustHaves</t>
  </si>
  <si>
    <t>Fresh blooms and neutral tones #SpringMakeup #GlowingSkin</t>
  </si>
  <si>
    <t>Shimmering shades for summer #GlossyLips #GlamUp</t>
  </si>
  <si>
    <t>Unboxing my summer essentials #BeautyHaul #GirlyFinds</t>
  </si>
  <si>
    <t>#SummerGlow #FreshVibes #BeautyLooks</t>
  </si>
  <si>
    <t>#SummerShades #NeutralTones #BeachVibes</t>
  </si>
  <si>
    <t>These are a must-have! #LuxuryBeauty #SummerFinds</t>
  </si>
  <si>
    <t>#TropicalBeauty #SummerVibes #SunshineMakeup</t>
  </si>
  <si>
    <t>Summer is here, check out these shades! #GlamOnTheGo</t>
  </si>
  <si>
    <t>Unboxing my must-haves for this summer #BeautyFavorites</t>
  </si>
  <si>
    <t>Glow up for the summer! #GlowUp #BeautyInspo</t>
  </si>
  <si>
    <t>Best shades for fall #AutumnVibes #BeautyLook</t>
  </si>
  <si>
    <t>Check out these new products #LuxuryBeautyHaul #NewInBeauty</t>
  </si>
  <si>
    <t>#AutumnGlow #BeautyRoutine #TonedSkin</t>
  </si>
  <si>
    <t>Fall shades are here #SoftGlam #BeautyTrends</t>
  </si>
  <si>
    <t>Fall essentials! #NewInBeauty #BeautyFaves</t>
  </si>
  <si>
    <t>Stay glowing all fall! #GlowUp #BeautyInspo</t>
  </si>
  <si>
    <t>The best fall shades! #MakeupHaul #FallLook</t>
  </si>
  <si>
    <t>Time for a new haul! #AutumnBeauty #BeautyAddicts</t>
  </si>
  <si>
    <t>Cozy vibes #FallAesthetic #BeautyRoutine</t>
  </si>
  <si>
    <t>Perfect for the fall season! #AutumnVibes #Swatches</t>
  </si>
  <si>
    <t>Unboxing my new autumn favorites! #BeautyHaul #FallMustHaves</t>
  </si>
  <si>
    <t>Autumn glow is real! #WarmTones #BeautyInspo</t>
  </si>
  <si>
    <t>Cozy fall vibes #NeutralShades #AutumnGlow</t>
  </si>
  <si>
    <t>Ready for winter! #BeautyHaul #CozyVibes</t>
  </si>
  <si>
    <t>Warmth and beauty for winter #WinterVibes #GlowUp</t>
  </si>
  <si>
    <t>Winter shades coming through! #BeautyHaul #WinterGlam</t>
  </si>
  <si>
    <t>My latest beauty haul! #WinterBeauty #LuxuryHaul</t>
  </si>
  <si>
    <t>The season of glow #BeautyVibes #WinterGlow</t>
  </si>
  <si>
    <t>New winter essentials #GlamTime #WinterShades</t>
  </si>
  <si>
    <t>Unboxing my holiday beauty must-haves #HolidayGlow</t>
  </si>
  <si>
    <t>Festive vibes only #HolidayBeauty #WinterGlow</t>
  </si>
  <si>
    <t>Wrapping up the year with these shades #HolidayBeauty</t>
  </si>
  <si>
    <t>Average Engagement Rate by Month and Platform:</t>
  </si>
  <si>
    <t>Average Engagement Rate by Content Type:</t>
  </si>
  <si>
    <t>Column Labels</t>
  </si>
  <si>
    <t>Row Labels</t>
  </si>
  <si>
    <t>Max of Engagment rate %</t>
  </si>
  <si>
    <t>Grand Total</t>
  </si>
  <si>
    <t>January</t>
  </si>
  <si>
    <t>February</t>
  </si>
  <si>
    <t>March</t>
  </si>
  <si>
    <t>April</t>
  </si>
  <si>
    <t>May</t>
  </si>
  <si>
    <t>June</t>
  </si>
  <si>
    <t>July</t>
  </si>
  <si>
    <t>August</t>
  </si>
  <si>
    <t>September</t>
  </si>
  <si>
    <t>Total Engagement by Platform:</t>
  </si>
  <si>
    <t>October</t>
  </si>
  <si>
    <t>Sum of Total Engagment</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</si>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</sst>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2"/>
      <name val="Aptos Narrow"/>
      <family val="2"/>
      <scheme val="minor"/>
    </font>
    <font>
      <sz val="11"/>
      <name val="Aptos Narrow"/>
      <family val="2"/>
      <scheme val="minor"/>
    </font>
    <font>
      <b/>
      <u/>
      <sz val="11"/>
      <color theme="1"/>
      <name val="Aptos Narrow"/>
      <family val="2"/>
      <scheme val="minor"/>
    </font>
  </fonts>
  <fills count="6">
    <fill>
      <patternFill patternType="none"/>
    </fill>
    <fill>
      <patternFill patternType="gray125"/>
    </fill>
    <fill>
      <patternFill patternType="solid">
        <fgColor theme="8" tint="0.79998168889431442"/>
        <bgColor indexed="65"/>
      </patternFill>
    </fill>
    <fill>
      <patternFill patternType="solid">
        <fgColor rgb="FFF2ECEF"/>
        <bgColor indexed="64"/>
      </patternFill>
    </fill>
    <fill>
      <patternFill patternType="solid">
        <fgColor theme="5" tint="0.399975585192419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3">
    <xf numFmtId="0" fontId="0" fillId="0" borderId="0" xfId="0"/>
    <xf numFmtId="0" fontId="0" fillId="3" borderId="0" xfId="0" applyFill="1"/>
    <xf numFmtId="14" fontId="2" fillId="4" borderId="0" xfId="0" applyNumberFormat="1" applyFont="1" applyFill="1" applyAlignment="1">
      <alignment horizontal="center" vertical="center"/>
    </xf>
    <xf numFmtId="0" fontId="2" fillId="4" borderId="0" xfId="0" applyFont="1" applyFill="1" applyAlignment="1">
      <alignment horizontal="center" vertical="center"/>
    </xf>
    <xf numFmtId="1" fontId="2" fillId="4" borderId="0" xfId="0" applyNumberFormat="1" applyFont="1" applyFill="1" applyAlignment="1">
      <alignment horizontal="center" vertical="center"/>
    </xf>
    <xf numFmtId="164" fontId="2" fillId="4" borderId="0" xfId="0" applyNumberFormat="1" applyFont="1" applyFill="1"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wrapText="1"/>
    </xf>
    <xf numFmtId="14" fontId="0" fillId="0" borderId="0" xfId="0" applyNumberFormat="1" applyAlignment="1">
      <alignment horizontal="center" vertical="center" wrapText="1"/>
    </xf>
    <xf numFmtId="0" fontId="3" fillId="0" borderId="0" xfId="0" applyFont="1" applyAlignment="1">
      <alignment horizontal="center" vertical="center" wrapText="1"/>
    </xf>
    <xf numFmtId="0" fontId="4" fillId="5" borderId="0" xfId="1" applyFont="1" applyFill="1" applyAlignment="1"/>
    <xf numFmtId="0" fontId="4" fillId="5" borderId="0" xfId="1" applyFont="1" applyFill="1" applyAlignment="1">
      <alignment horizontal="left"/>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0" fontId="0" fillId="0" borderId="0" xfId="0" pivotButton="1" applyAlignment="1">
      <alignment horizontal="center"/>
    </xf>
    <xf numFmtId="0" fontId="0" fillId="5" borderId="0" xfId="0" applyFill="1"/>
  </cellXfs>
  <cellStyles count="2">
    <cellStyle name="20% - Accent5" xfId="1" builtinId="46"/>
    <cellStyle name="Normal" xfId="0" builtinId="0"/>
  </cellStyles>
  <dxfs count="8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ill>
        <patternFill>
          <bgColor rgb="FFF9E7F7"/>
        </patternFill>
      </fill>
    </dxf>
    <dxf>
      <fill>
        <patternFill>
          <bgColor rgb="FFDDD5D1"/>
        </patternFill>
      </fill>
    </dxf>
    <dxf>
      <fill>
        <patternFill patternType="none">
          <bgColor auto="1"/>
        </patternFill>
      </fill>
    </dxf>
    <dxf>
      <fill>
        <patternFill patternType="none">
          <bgColor auto="1"/>
        </patternFill>
      </fill>
    </dxf>
    <dxf>
      <fill>
        <patternFill>
          <fgColor rgb="FFF7E1F5"/>
          <bgColor theme="6" tint="0.39994506668294322"/>
        </patternFill>
      </fill>
    </dxf>
    <dxf>
      <fill>
        <patternFill>
          <bgColor theme="6" tint="0.79998168889431442"/>
        </patternFill>
      </fill>
    </dxf>
    <dxf>
      <fill>
        <patternFill>
          <bgColor theme="6" tint="0.59996337778862885"/>
        </patternFill>
      </fill>
    </dxf>
    <dxf>
      <fill>
        <patternFill>
          <bgColor theme="6" tint="0.79998168889431442"/>
        </patternFill>
      </fill>
    </dxf>
    <dxf>
      <fill>
        <patternFill>
          <bgColor rgb="FFF7E1F5"/>
        </patternFill>
      </fill>
    </dxf>
    <dxf>
      <fill>
        <patternFill>
          <bgColor rgb="FFE4E4E4"/>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64" formatCode="0.0%"/>
      <alignment horizontal="center" vertical="center" textRotation="0" wrapText="0"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Aptos Narrow"/>
        <family val="2"/>
        <scheme val="minor"/>
      </font>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font>
        <b/>
        <i val="0"/>
        <strike val="0"/>
        <condense val="0"/>
        <extend val="0"/>
        <outline val="0"/>
        <shadow val="0"/>
        <u val="none"/>
        <vertAlign val="baseline"/>
        <sz val="11"/>
        <color theme="2"/>
        <name val="Aptos Narrow"/>
        <family val="2"/>
        <scheme val="minor"/>
      </font>
      <fill>
        <patternFill patternType="solid">
          <fgColor indexed="64"/>
          <bgColor theme="5" tint="0.39997558519241921"/>
        </patternFill>
      </fill>
      <alignment horizontal="center" vertical="center" textRotation="0" wrapText="0" indent="0" justifyLastLine="0" shrinkToFit="0" readingOrder="0"/>
    </dxf>
  </dxfs>
  <tableStyles count="0" defaultTableStyle="TableStyleMedium2" defaultPivotStyle="PivotStyleLight16"/>
  <colors>
    <mruColors>
      <color rgb="FFF2EC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[sravanthi_social_media_analytics..xlsx]Summary Pivots!PivotTable2</c:name>
    <c:fmtId val="3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Engagement</a:t>
            </a:r>
            <a:r>
              <a:rPr lang="en-US" baseline="0"/>
              <a:t> trends overtime</a:t>
            </a:r>
            <a:endParaRPr lang="en-US"/>
          </a:p>
        </c:rich>
      </c:tx>
      <c:layout>
        <c:manualLayout>
          <c:xMode val="edge"/>
          <c:yMode val="edge"/>
          <c:x val="0.41953538097761628"/>
          <c:y val="8.75870931563821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Pivots'!$C$5:$C$6</c:f>
              <c:strCache>
                <c:ptCount val="1"/>
                <c:pt idx="0">
                  <c:v>Instagram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'Summary Pivots'!$B$7:$B$19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 Pivots'!$C$7:$C$19</c:f>
              <c:numCache>
                <c:formatCode>0.0%</c:formatCode>
                <c:ptCount val="12"/>
                <c:pt idx="0">
                  <c:v>0.1</c:v>
                </c:pt>
                <c:pt idx="1">
                  <c:v>6.1533333333333336E-2</c:v>
                </c:pt>
                <c:pt idx="2">
                  <c:v>0.19</c:v>
                </c:pt>
                <c:pt idx="3">
                  <c:v>0.10076704434840167</c:v>
                </c:pt>
                <c:pt idx="4">
                  <c:v>0.15879370162796905</c:v>
                </c:pt>
                <c:pt idx="5">
                  <c:v>0.14869630892247143</c:v>
                </c:pt>
                <c:pt idx="6">
                  <c:v>0.16295597940387266</c:v>
                </c:pt>
                <c:pt idx="7">
                  <c:v>0.14524707016587246</c:v>
                </c:pt>
                <c:pt idx="8">
                  <c:v>0.1582542847903417</c:v>
                </c:pt>
                <c:pt idx="9">
                  <c:v>0.15895438728364902</c:v>
                </c:pt>
                <c:pt idx="10">
                  <c:v>0.15621175779529101</c:v>
                </c:pt>
                <c:pt idx="11">
                  <c:v>0.16021828158932486</c:v>
                </c:pt>
              </c:numCache>
            </c:numRef>
          </c:val>
          <c:smooth val="0"/>
          <c:extLst>
            <c:ext xmlns:c16="http://schemas.microsoft.com/office/drawing/2014/chart" uri="{C3380CC4-5D6E-409C-BE32-E72D297353CC}">
              <c16:uniqueId val="{0000000C-3CF2-4E94-8462-9FCACBA806C0}"/>
            </c:ext>
          </c:extLst>
        </c:ser>
        <c:dLbls>
          <c:showLegendKey val="0"/>
          <c:showVal val="0"/>
          <c:showCatName val="0"/>
          <c:showSerName val="0"/>
          <c:showPercent val="0"/>
          <c:showBubbleSize val="0"/>
        </c:dLbls>
        <c:marker val="1"/>
        <c:smooth val="0"/>
        <c:axId val="457065375"/>
        <c:axId val="457065855"/>
      </c:lineChart>
      <c:catAx>
        <c:axId val="4570653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US" sz="1050">
                    <a:solidFill>
                      <a:sysClr val="windowText" lastClr="000000"/>
                    </a:solidFill>
                  </a:rPr>
                  <a:t>Months</a:t>
                </a:r>
                <a:endParaRPr lang="en-US"/>
              </a:p>
            </c:rich>
          </c:tx>
          <c:layout>
            <c:manualLayout>
              <c:xMode val="edge"/>
              <c:yMode val="edge"/>
              <c:x val="0.45498437478677384"/>
              <c:y val="0.83277705422203641"/>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7065855"/>
        <c:crosses val="autoZero"/>
        <c:auto val="1"/>
        <c:lblAlgn val="ctr"/>
        <c:lblOffset val="100"/>
        <c:noMultiLvlLbl val="0"/>
      </c:catAx>
      <c:valAx>
        <c:axId val="45706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00"/>
                  <a:t>Avg</a:t>
                </a:r>
                <a:r>
                  <a:rPr lang="en-US" sz="1000" baseline="0"/>
                  <a:t> Enagement Rate (%)</a:t>
                </a:r>
                <a:endParaRPr lang="en-US" sz="1000"/>
              </a:p>
            </c:rich>
          </c:tx>
          <c:layout>
            <c:manualLayout>
              <c:xMode val="edge"/>
              <c:yMode val="edge"/>
              <c:x val="8.393069625776196E-3"/>
              <c:y val="0.26379691996331783"/>
            </c:manualLayout>
          </c:layout>
          <c:overlay val="0"/>
          <c:spPr>
            <a:solidFill>
              <a:schemeClr val="accent2">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70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57150" cap="flat" cmpd="sng" algn="ctr">
      <a:noFill/>
      <a:prstDash val="solid"/>
      <a:miter lim="800000"/>
    </a:ln>
    <a:effectLst>
      <a:glow rad="63500">
        <a:schemeClr val="accent5">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[sravanthi_social_media_analytics..xlsx]Summary Pivots!PivotTable3</c:name>
    <c:fmtId val="5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 of Total engagement</a:t>
            </a:r>
          </a:p>
        </c:rich>
      </c:tx>
      <c:layout>
        <c:manualLayout>
          <c:xMode val="edge"/>
          <c:yMode val="edge"/>
          <c:x val="0.44084744710128515"/>
          <c:y val="5.978728545831761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5104843650490439"/>
          <c:y val="0.1912025385467748"/>
          <c:w val="0.32967326476680719"/>
          <c:h val="0.68248162544794422"/>
        </c:manualLayout>
      </c:layout>
      <c:pieChart>
        <c:varyColors val="1"/>
        <c:ser>
          <c:idx val="1"/>
          <c:order val="0"/>
          <c:tx>
            <c:strRef>
              <c:f>'Summary Pivots'!$H$16</c:f>
              <c:strCache>
                <c:ptCount val="1"/>
                <c:pt idx="0">
                  <c:v>Total</c:v>
                </c:pt>
              </c:strCache>
            </c:strRef>
          </c:tx>
          <c:dPt>
            <c:idx val="0"/>
            <c:bubble3D val="0"/>
            <c:explosion val="5"/>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9F36-4363-BC98-A57B8B732949}"/>
              </c:ext>
            </c:extLst>
          </c:dPt>
          <c:dPt>
            <c:idx val="1"/>
            <c:bubble3D val="0"/>
            <c:spPr>
              <a:solidFill>
                <a:schemeClr val="accent3">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E6-461C-A547-EEB5B9D286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Pivots'!$G$17:$G$18</c:f>
              <c:strCache>
                <c:ptCount val="1"/>
                <c:pt idx="0">
                  <c:v>Instagram</c:v>
                </c:pt>
              </c:strCache>
            </c:strRef>
          </c:cat>
          <c:val>
            <c:numRef>
              <c:f>'Summary Pivots'!$H$17:$H$18</c:f>
              <c:numCache>
                <c:formatCode>0</c:formatCode>
                <c:ptCount val="1"/>
                <c:pt idx="0">
                  <c:v>519396.39157242869</c:v>
                </c:pt>
              </c:numCache>
            </c:numRef>
          </c:val>
          <c:extLst>
            <c:ext xmlns:c16="http://schemas.microsoft.com/office/drawing/2014/chart" uri="{C3380CC4-5D6E-409C-BE32-E72D297353CC}">
              <c16:uniqueId val="{0000000C-9F36-4363-BC98-A57B8B7329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024451981752209"/>
          <c:y val="0.36336781815824215"/>
          <c:w val="0.12077229783750128"/>
          <c:h val="0.22587032310920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[sravanthi_social_media_analytics..xlsx]Summary Pivots!PivotTable1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Pivots'!$H$5</c:f>
              <c:strCache>
                <c:ptCount val="1"/>
                <c:pt idx="0">
                  <c:v>Total</c:v>
                </c:pt>
              </c:strCache>
            </c:strRef>
          </c:tx>
          <c:spPr>
            <a:solidFill>
              <a:schemeClr val="accent3"/>
            </a:solidFill>
            <a:ln>
              <a:noFill/>
            </a:ln>
            <a:effectLst/>
          </c:spPr>
          <c:invertIfNegative val="0"/>
          <c:cat>
            <c:strRef>
              <c:f>'Summary Pivots'!$G$6:$G$9</c:f>
              <c:strCache>
                <c:ptCount val="3"/>
                <c:pt idx="0">
                  <c:v>Aesthetic Shots</c:v>
                </c:pt>
                <c:pt idx="1">
                  <c:v>Product Swatch</c:v>
                </c:pt>
                <c:pt idx="2">
                  <c:v>Unboxing</c:v>
                </c:pt>
              </c:strCache>
            </c:strRef>
          </c:cat>
          <c:val>
            <c:numRef>
              <c:f>'Summary Pivots'!$H$6:$H$9</c:f>
              <c:numCache>
                <c:formatCode>0.0%</c:formatCode>
                <c:ptCount val="3"/>
                <c:pt idx="0">
                  <c:v>0.16021828158932486</c:v>
                </c:pt>
                <c:pt idx="1">
                  <c:v>0.19</c:v>
                </c:pt>
                <c:pt idx="2">
                  <c:v>0.16295597940387266</c:v>
                </c:pt>
              </c:numCache>
            </c:numRef>
          </c:val>
          <c:extLst>
            <c:ext xmlns:c16="http://schemas.microsoft.com/office/drawing/2014/chart" uri="{C3380CC4-5D6E-409C-BE32-E72D297353CC}">
              <c16:uniqueId val="{00000000-1DD1-4E85-BCAE-616156D91873}"/>
            </c:ext>
          </c:extLst>
        </c:ser>
        <c:dLbls>
          <c:showLegendKey val="0"/>
          <c:showVal val="0"/>
          <c:showCatName val="0"/>
          <c:showSerName val="0"/>
          <c:showPercent val="0"/>
          <c:showBubbleSize val="0"/>
        </c:dLbls>
        <c:gapWidth val="150"/>
        <c:axId val="181392928"/>
        <c:axId val="181391968"/>
      </c:barChart>
      <c:catAx>
        <c:axId val="18139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Content Type</a:t>
                </a:r>
              </a:p>
            </c:rich>
          </c:tx>
          <c:layout>
            <c:manualLayout>
              <c:xMode val="edge"/>
              <c:yMode val="edge"/>
              <c:x val="0.44603993923536467"/>
              <c:y val="0.837907298683159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1968"/>
        <c:crosses val="autoZero"/>
        <c:auto val="1"/>
        <c:lblAlgn val="ctr"/>
        <c:lblOffset val="100"/>
        <c:noMultiLvlLbl val="0"/>
      </c:catAx>
      <c:valAx>
        <c:axId val="18139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Engagement rate (%)</a:t>
                </a:r>
              </a:p>
            </c:rich>
          </c:tx>
          <c:layout>
            <c:manualLayout>
              <c:xMode val="edge"/>
              <c:yMode val="edge"/>
              <c:x val="2.0800832033281333E-3"/>
              <c:y val="0.256169133918257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161925</xdr:colOff>
      <xdr:row>2</xdr:row>
      <xdr:rowOff>85725</xdr:rowOff>
    </xdr:from>
    <xdr:to>
      <xdr:col>22</xdr:col>
      <xdr:colOff>28575</xdr:colOff>
      <xdr:row>15</xdr:row>
      <xdr:rowOff>114300</xdr:rowOff>
    </xdr:to>
    <xdr:sp macro="" textlink="">
      <xdr:nvSpPr>
        <xdr:cNvPr id="3" name="TextBox 2">
          <a:extLst>
            <a:ext uri="{FF2B5EF4-FFF2-40B4-BE49-F238E27FC236}">
              <a16:creationId xmlns:a16="http://schemas.microsoft.com/office/drawing/2014/main" id="{93C52F87-7E3F-7E83-E2D1-494AB47EF55B}"/>
            </a:ext>
          </a:extLst>
        </xdr:cNvPr>
        <xdr:cNvSpPr txBox="1"/>
      </xdr:nvSpPr>
      <xdr:spPr>
        <a:xfrm>
          <a:off x="3835854" y="466725"/>
          <a:ext cx="9663792" cy="2505075"/>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1. PROJECT OVERVIEW:</a:t>
          </a:r>
          <a:endParaRPr lang="en-US" sz="1800">
            <a:effectLst>
              <a:outerShdw blurRad="50800" dist="38100" dir="10800000" algn="r" rotWithShape="0">
                <a:prstClr val="black">
                  <a:alpha val="40000"/>
                </a:prstClr>
              </a:outerShdw>
            </a:effectLst>
          </a:endParaRPr>
        </a:p>
        <a:p>
          <a:pPr algn="l"/>
          <a:r>
            <a:rPr lang="en-US" sz="1200" b="1">
              <a:solidFill>
                <a:schemeClr val="dk1"/>
              </a:solidFill>
              <a:effectLst/>
              <a:latin typeface="+mn-lt"/>
              <a:ea typeface="+mn-ea"/>
              <a:cs typeface="+mn-cs"/>
            </a:rPr>
            <a:t>Purpose:</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The Social Media Analytics Tracker is designed to analyse and optimise content performance on Instagram and TikTok. It helps track </a:t>
          </a:r>
          <a:endParaRPr lang="en-US" sz="1200">
            <a:effectLst/>
          </a:endParaRPr>
        </a:p>
        <a:p>
          <a:pPr algn="l"/>
          <a:r>
            <a:rPr lang="en-US" sz="1200">
              <a:solidFill>
                <a:schemeClr val="dk1"/>
              </a:solidFill>
              <a:effectLst/>
              <a:latin typeface="+mn-lt"/>
              <a:ea typeface="+mn-ea"/>
              <a:cs typeface="+mn-cs"/>
            </a:rPr>
            <a:t>engagement metrics, identify trends, and support data-driven decision</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making for content strategy.</a:t>
          </a:r>
        </a:p>
        <a:p>
          <a:pPr algn="l"/>
          <a:endParaRPr lang="en-US" sz="1200">
            <a:effectLst/>
          </a:endParaRPr>
        </a:p>
        <a:p>
          <a:pPr algn="l"/>
          <a:r>
            <a:rPr lang="en-US" sz="1200" b="1">
              <a:solidFill>
                <a:schemeClr val="dk1"/>
              </a:solidFill>
              <a:effectLst/>
              <a:latin typeface="+mn-lt"/>
              <a:ea typeface="+mn-ea"/>
              <a:cs typeface="+mn-cs"/>
            </a:rPr>
            <a:t>Key Features:</a:t>
          </a:r>
          <a:endParaRPr lang="en-US" sz="1200">
            <a:effectLst/>
          </a:endParaRPr>
        </a:p>
        <a:p>
          <a:pPr algn="l"/>
          <a:r>
            <a:rPr lang="en-US" sz="1200">
              <a:solidFill>
                <a:schemeClr val="dk1"/>
              </a:solidFill>
              <a:effectLst/>
              <a:latin typeface="+mn-lt"/>
              <a:ea typeface="+mn-ea"/>
              <a:cs typeface="+mn-cs"/>
            </a:rPr>
            <a:t>- Tracks content performance across multiple platforms.</a:t>
          </a:r>
          <a:endParaRPr lang="en-US" sz="1200">
            <a:effectLst/>
          </a:endParaRPr>
        </a:p>
        <a:p>
          <a:pPr algn="l"/>
          <a:r>
            <a:rPr lang="en-US" sz="1200">
              <a:solidFill>
                <a:schemeClr val="dk1"/>
              </a:solidFill>
              <a:effectLst/>
              <a:latin typeface="+mn-lt"/>
              <a:ea typeface="+mn-ea"/>
              <a:cs typeface="+mn-cs"/>
            </a:rPr>
            <a:t>- Measures engagement metrics (views, likes, comments, shares, saves).</a:t>
          </a:r>
          <a:endParaRPr lang="en-US" sz="1200">
            <a:effectLst/>
          </a:endParaRPr>
        </a:p>
        <a:p>
          <a:pPr algn="l"/>
          <a:r>
            <a:rPr lang="en-US" sz="1200">
              <a:solidFill>
                <a:schemeClr val="dk1"/>
              </a:solidFill>
              <a:effectLst/>
              <a:latin typeface="+mn-lt"/>
              <a:ea typeface="+mn-ea"/>
              <a:cs typeface="+mn-cs"/>
            </a:rPr>
            <a:t>- Automatically calculates engagement rate and total engagement using custom formulas.</a:t>
          </a:r>
          <a:endParaRPr lang="en-US" sz="1200">
            <a:effectLst/>
          </a:endParaRPr>
        </a:p>
        <a:p>
          <a:pPr algn="l"/>
          <a:r>
            <a:rPr lang="en-US" sz="1200">
              <a:solidFill>
                <a:schemeClr val="dk1"/>
              </a:solidFill>
              <a:effectLst/>
              <a:latin typeface="+mn-lt"/>
              <a:ea typeface="+mn-ea"/>
              <a:cs typeface="+mn-cs"/>
            </a:rPr>
            <a:t>- Provides month-wise and content-type insights via pivot tables and visualisations.</a:t>
          </a:r>
          <a:endParaRPr lang="en-US" sz="1200">
            <a:effectLst/>
          </a:endParaRPr>
        </a:p>
        <a:p>
          <a:endParaRPr lang="en-US" sz="1100"/>
        </a:p>
      </xdr:txBody>
    </xdr:sp>
    <xdr:clientData/>
  </xdr:twoCellAnchor>
  <xdr:twoCellAnchor>
    <xdr:from>
      <xdr:col>6</xdr:col>
      <xdr:colOff>209550</xdr:colOff>
      <xdr:row>16</xdr:row>
      <xdr:rowOff>171451</xdr:rowOff>
    </xdr:from>
    <xdr:to>
      <xdr:col>22</xdr:col>
      <xdr:colOff>76200</xdr:colOff>
      <xdr:row>32</xdr:row>
      <xdr:rowOff>38101</xdr:rowOff>
    </xdr:to>
    <xdr:sp macro="" textlink="">
      <xdr:nvSpPr>
        <xdr:cNvPr id="4" name="TextBox 3">
          <a:extLst>
            <a:ext uri="{FF2B5EF4-FFF2-40B4-BE49-F238E27FC236}">
              <a16:creationId xmlns:a16="http://schemas.microsoft.com/office/drawing/2014/main" id="{F3AA4289-4CA5-4738-B2F4-26E98EEAB084}"/>
            </a:ext>
          </a:extLst>
        </xdr:cNvPr>
        <xdr:cNvSpPr txBox="1"/>
      </xdr:nvSpPr>
      <xdr:spPr>
        <a:xfrm>
          <a:off x="3883479" y="3219451"/>
          <a:ext cx="9663792" cy="2914650"/>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2. DATA STRUCTURE:</a:t>
          </a:r>
          <a:endParaRPr lang="en-US" sz="3200">
            <a:effectLst>
              <a:outerShdw blurRad="50800" dist="38100" dir="10800000" algn="r" rotWithShape="0">
                <a:prstClr val="black">
                  <a:alpha val="40000"/>
                </a:prstClr>
              </a:outerShdw>
            </a:effectLst>
          </a:endParaRPr>
        </a:p>
        <a:p>
          <a:pPr algn="l"/>
          <a:r>
            <a:rPr lang="en-US" sz="1200" b="1">
              <a:solidFill>
                <a:schemeClr val="dk1"/>
              </a:solidFill>
              <a:effectLst/>
              <a:latin typeface="+mn-lt"/>
              <a:ea typeface="+mn-ea"/>
              <a:cs typeface="+mn-cs"/>
            </a:rPr>
            <a:t>Worksheets in the Tracker:</a:t>
          </a:r>
          <a:endParaRPr lang="en-US" sz="2000">
            <a:effectLst/>
          </a:endParaRPr>
        </a:p>
        <a:p>
          <a:pPr marL="171450" indent="-171450" algn="l">
            <a:buFont typeface="Arial" panose="020B0604020202020204" pitchFamily="34" charset="0"/>
            <a:buChar char="•"/>
          </a:pPr>
          <a:r>
            <a:rPr lang="en-US" sz="1200" b="1">
              <a:solidFill>
                <a:schemeClr val="dk1"/>
              </a:solidFill>
              <a:effectLst/>
              <a:latin typeface="+mn-lt"/>
              <a:ea typeface="+mn-ea"/>
              <a:cs typeface="+mn-cs"/>
            </a:rPr>
            <a:t>Content Tracker</a:t>
          </a:r>
          <a:r>
            <a:rPr lang="en-US" sz="1200">
              <a:solidFill>
                <a:schemeClr val="dk1"/>
              </a:solidFill>
              <a:effectLst/>
              <a:latin typeface="+mn-lt"/>
              <a:ea typeface="+mn-ea"/>
              <a:cs typeface="+mn-cs"/>
            </a:rPr>
            <a:t>:</a:t>
          </a:r>
          <a:endParaRPr lang="en-US" sz="2000">
            <a:effectLst/>
          </a:endParaRPr>
        </a:p>
        <a:p>
          <a:pPr lvl="1" algn="l"/>
          <a:r>
            <a:rPr lang="en-US" sz="1200">
              <a:solidFill>
                <a:schemeClr val="dk1"/>
              </a:solidFill>
              <a:effectLst/>
              <a:latin typeface="+mn-lt"/>
              <a:ea typeface="+mn-ea"/>
              <a:cs typeface="+mn-cs"/>
            </a:rPr>
            <a:t>Contains raw data for each post, including date, platform, content type, caption/hashtags, and performance metrics.</a:t>
          </a:r>
          <a:endParaRPr lang="en-US" sz="2000">
            <a:effectLst/>
          </a:endParaRPr>
        </a:p>
        <a:p>
          <a:pPr lvl="1" algn="l"/>
          <a:r>
            <a:rPr lang="en-US" sz="1200">
              <a:solidFill>
                <a:schemeClr val="dk1"/>
              </a:solidFill>
              <a:effectLst/>
              <a:latin typeface="+mn-lt"/>
              <a:ea typeface="+mn-ea"/>
              <a:cs typeface="+mn-cs"/>
            </a:rPr>
            <a:t>Formulas automate calculations for:</a:t>
          </a:r>
          <a:endParaRPr lang="en-US" sz="2000">
            <a:effectLst/>
          </a:endParaRPr>
        </a:p>
        <a:p>
          <a:pPr lvl="2" algn="l"/>
          <a:r>
            <a:rPr lang="en-US" sz="1200" b="1">
              <a:solidFill>
                <a:schemeClr val="dk1"/>
              </a:solidFill>
              <a:effectLst/>
              <a:latin typeface="+mn-lt"/>
              <a:ea typeface="+mn-ea"/>
              <a:cs typeface="+mn-cs"/>
            </a:rPr>
            <a:t>Total Engagement</a:t>
          </a:r>
          <a:r>
            <a:rPr lang="en-US" sz="1200">
              <a:solidFill>
                <a:schemeClr val="dk1"/>
              </a:solidFill>
              <a:effectLst/>
              <a:latin typeface="+mn-lt"/>
              <a:ea typeface="+mn-ea"/>
              <a:cs typeface="+mn-cs"/>
            </a:rPr>
            <a:t>: =G2 + H2 + IF(ISNUMBER(I2), I2, 0) + IF(ISNUMBER(J2), J2, 0) + IF(ISNUMBER(K2), K2, 0)</a:t>
          </a:r>
          <a:endParaRPr lang="en-US" sz="2000">
            <a:effectLst/>
          </a:endParaRPr>
        </a:p>
        <a:p>
          <a:pPr lvl="2" algn="l"/>
          <a:r>
            <a:rPr lang="en-US" sz="1200" b="1">
              <a:solidFill>
                <a:schemeClr val="dk1"/>
              </a:solidFill>
              <a:effectLst/>
              <a:latin typeface="+mn-lt"/>
              <a:ea typeface="+mn-ea"/>
              <a:cs typeface="+mn-cs"/>
            </a:rPr>
            <a:t>Engagement Rate (%)</a:t>
          </a:r>
          <a:r>
            <a:rPr lang="en-US" sz="1200">
              <a:solidFill>
                <a:schemeClr val="dk1"/>
              </a:solidFill>
              <a:effectLst/>
              <a:latin typeface="+mn-lt"/>
              <a:ea typeface="+mn-ea"/>
              <a:cs typeface="+mn-cs"/>
            </a:rPr>
            <a:t>: =IF(OR(F2=0, ISBLANK(F2)), "", (G2+H2+IF(ISNUMBER(I2), I2, 0)+IF(ISNUMBER(J2), J2, 0))/F2)</a:t>
          </a:r>
          <a:endParaRPr lang="en-US" sz="2000">
            <a:effectLst/>
          </a:endParaRPr>
        </a:p>
        <a:p>
          <a:pPr lvl="2" algn="l"/>
          <a:r>
            <a:rPr lang="en-US" sz="1200" b="1">
              <a:solidFill>
                <a:schemeClr val="dk1"/>
              </a:solidFill>
              <a:effectLst/>
              <a:latin typeface="+mn-lt"/>
              <a:ea typeface="+mn-ea"/>
              <a:cs typeface="+mn-cs"/>
            </a:rPr>
            <a:t>Month Extraction</a:t>
          </a:r>
          <a:r>
            <a:rPr lang="en-US" sz="1200">
              <a:solidFill>
                <a:schemeClr val="dk1"/>
              </a:solidFill>
              <a:effectLst/>
              <a:latin typeface="+mn-lt"/>
              <a:ea typeface="+mn-ea"/>
              <a:cs typeface="+mn-cs"/>
            </a:rPr>
            <a:t>: =TEXT(A2, "mmmm")</a:t>
          </a:r>
          <a:endParaRPr lang="en-US" sz="2000">
            <a:effectLst/>
          </a:endParaRPr>
        </a:p>
        <a:p>
          <a:pPr marL="171450" indent="-171450" algn="l">
            <a:buFont typeface="Arial" panose="020B0604020202020204" pitchFamily="34" charset="0"/>
            <a:buChar char="•"/>
          </a:pPr>
          <a:r>
            <a:rPr lang="en-US" sz="1200" b="1">
              <a:solidFill>
                <a:schemeClr val="dk1"/>
              </a:solidFill>
              <a:effectLst/>
              <a:latin typeface="+mn-lt"/>
              <a:ea typeface="+mn-ea"/>
              <a:cs typeface="+mn-cs"/>
            </a:rPr>
            <a:t>Summary Tables</a:t>
          </a:r>
          <a:r>
            <a:rPr lang="en-US" sz="1200">
              <a:solidFill>
                <a:schemeClr val="dk1"/>
              </a:solidFill>
              <a:effectLst/>
              <a:latin typeface="+mn-lt"/>
              <a:ea typeface="+mn-ea"/>
              <a:cs typeface="+mn-cs"/>
            </a:rPr>
            <a:t>:</a:t>
          </a:r>
          <a:endParaRPr lang="en-US" sz="2000">
            <a:effectLst/>
          </a:endParaRPr>
        </a:p>
        <a:p>
          <a:pPr lvl="1" algn="l"/>
          <a:r>
            <a:rPr lang="en-US" sz="1200">
              <a:solidFill>
                <a:schemeClr val="dk1"/>
              </a:solidFill>
              <a:effectLst/>
              <a:latin typeface="+mn-lt"/>
              <a:ea typeface="+mn-ea"/>
              <a:cs typeface="+mn-cs"/>
            </a:rPr>
            <a:t>Contains pivot tables summarising:</a:t>
          </a:r>
          <a:endParaRPr lang="en-US" sz="2000">
            <a:effectLst/>
          </a:endParaRPr>
        </a:p>
        <a:p>
          <a:pPr lvl="2" algn="l"/>
          <a:r>
            <a:rPr lang="en-US" sz="1200">
              <a:solidFill>
                <a:schemeClr val="dk1"/>
              </a:solidFill>
              <a:effectLst/>
              <a:latin typeface="+mn-lt"/>
              <a:ea typeface="+mn-ea"/>
              <a:cs typeface="+mn-cs"/>
            </a:rPr>
            <a:t>Average engagement rate by month and platform.</a:t>
          </a:r>
          <a:endParaRPr lang="en-US" sz="2000">
            <a:effectLst/>
          </a:endParaRPr>
        </a:p>
        <a:p>
          <a:pPr lvl="2" algn="l"/>
          <a:r>
            <a:rPr lang="en-US" sz="1200">
              <a:solidFill>
                <a:schemeClr val="dk1"/>
              </a:solidFill>
              <a:effectLst/>
              <a:latin typeface="+mn-lt"/>
              <a:ea typeface="+mn-ea"/>
              <a:cs typeface="+mn-cs"/>
            </a:rPr>
            <a:t>Average engagement rate by content type.</a:t>
          </a:r>
          <a:endParaRPr lang="en-US" sz="2000">
            <a:effectLst/>
          </a:endParaRPr>
        </a:p>
        <a:p>
          <a:pPr lvl="2" algn="l"/>
          <a:r>
            <a:rPr lang="en-US" sz="1200">
              <a:solidFill>
                <a:schemeClr val="dk1"/>
              </a:solidFill>
              <a:effectLst/>
              <a:latin typeface="+mn-lt"/>
              <a:ea typeface="+mn-ea"/>
              <a:cs typeface="+mn-cs"/>
            </a:rPr>
            <a:t>Total engagement by platform.</a:t>
          </a:r>
          <a:endParaRPr lang="en-US" sz="2000">
            <a:effectLst/>
          </a:endParaRPr>
        </a:p>
        <a:p>
          <a:endParaRPr lang="en-US" sz="1100"/>
        </a:p>
      </xdr:txBody>
    </xdr:sp>
    <xdr:clientData/>
  </xdr:twoCellAnchor>
  <xdr:twoCellAnchor>
    <xdr:from>
      <xdr:col>6</xdr:col>
      <xdr:colOff>276225</xdr:colOff>
      <xdr:row>33</xdr:row>
      <xdr:rowOff>142875</xdr:rowOff>
    </xdr:from>
    <xdr:to>
      <xdr:col>22</xdr:col>
      <xdr:colOff>142875</xdr:colOff>
      <xdr:row>48</xdr:row>
      <xdr:rowOff>123825</xdr:rowOff>
    </xdr:to>
    <xdr:sp macro="" textlink="">
      <xdr:nvSpPr>
        <xdr:cNvPr id="5" name="TextBox 4">
          <a:extLst>
            <a:ext uri="{FF2B5EF4-FFF2-40B4-BE49-F238E27FC236}">
              <a16:creationId xmlns:a16="http://schemas.microsoft.com/office/drawing/2014/main" id="{7CAECD34-999E-46D6-BC46-CEED1F4BB662}"/>
            </a:ext>
          </a:extLst>
        </xdr:cNvPr>
        <xdr:cNvSpPr txBox="1"/>
      </xdr:nvSpPr>
      <xdr:spPr>
        <a:xfrm>
          <a:off x="3950154" y="6429375"/>
          <a:ext cx="9663792" cy="2838450"/>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u="sng">
              <a:solidFill>
                <a:schemeClr val="dk1"/>
              </a:solidFill>
              <a:effectLst>
                <a:outerShdw blurRad="50800" dist="38100" dir="10800000" algn="r" rotWithShape="0">
                  <a:prstClr val="black">
                    <a:alpha val="40000"/>
                  </a:prstClr>
                </a:outerShdw>
              </a:effectLst>
              <a:latin typeface="+mn-lt"/>
              <a:ea typeface="+mn-ea"/>
              <a:cs typeface="+mn-cs"/>
            </a:rPr>
            <a:t>3. HOW TO USE THE TRACKER:</a:t>
          </a:r>
          <a:endParaRPr lang="en-US" sz="1800">
            <a:effectLst>
              <a:outerShdw blurRad="50800" dist="38100" dir="10800000" algn="r" rotWithShape="0">
                <a:prstClr val="black">
                  <a:alpha val="40000"/>
                </a:prstClr>
              </a:outerShdw>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Input Data</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Add new posts to the </a:t>
          </a:r>
          <a:r>
            <a:rPr lang="en-US" sz="1200" b="1">
              <a:solidFill>
                <a:schemeClr val="dk1"/>
              </a:solidFill>
              <a:effectLst/>
              <a:latin typeface="+mn-lt"/>
              <a:ea typeface="+mn-ea"/>
              <a:cs typeface="+mn-cs"/>
            </a:rPr>
            <a:t>Content Tracker</a:t>
          </a:r>
          <a:r>
            <a:rPr lang="en-US" sz="1200">
              <a:solidFill>
                <a:schemeClr val="dk1"/>
              </a:solidFill>
              <a:effectLst/>
              <a:latin typeface="+mn-lt"/>
              <a:ea typeface="+mn-ea"/>
              <a:cs typeface="+mn-cs"/>
            </a:rPr>
            <a:t> worksheet. Include date, platform, content type, caption/hashtags, likes,</a:t>
          </a:r>
          <a:r>
            <a:rPr lang="en-US" sz="1200" baseline="0">
              <a:solidFill>
                <a:schemeClr val="dk1"/>
              </a:solidFill>
              <a:effectLst/>
              <a:latin typeface="+mn-lt"/>
              <a:ea typeface="+mn-ea"/>
              <a:cs typeface="+mn-cs"/>
            </a:rPr>
            <a:t> comments,shares and saves</a:t>
          </a:r>
          <a:r>
            <a:rPr lang="en-US" sz="1200">
              <a:solidFill>
                <a:schemeClr val="dk1"/>
              </a:solidFill>
              <a:effectLst/>
              <a:latin typeface="+mn-lt"/>
              <a:ea typeface="+mn-ea"/>
              <a:cs typeface="+mn-cs"/>
            </a:rPr>
            <a:t>.</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View Summary</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Navigate to the </a:t>
          </a:r>
          <a:r>
            <a:rPr lang="en-US" sz="1200" b="1">
              <a:solidFill>
                <a:schemeClr val="dk1"/>
              </a:solidFill>
              <a:effectLst/>
              <a:latin typeface="+mn-lt"/>
              <a:ea typeface="+mn-ea"/>
              <a:cs typeface="+mn-cs"/>
            </a:rPr>
            <a:t>Summary Tables</a:t>
          </a:r>
          <a:r>
            <a:rPr lang="en-US" sz="1200">
              <a:solidFill>
                <a:schemeClr val="dk1"/>
              </a:solidFill>
              <a:effectLst/>
              <a:latin typeface="+mn-lt"/>
              <a:ea typeface="+mn-ea"/>
              <a:cs typeface="+mn-cs"/>
            </a:rPr>
            <a:t> worksheet to see trends and insights.</a:t>
          </a:r>
          <a:endParaRPr lang="en-US" sz="1200">
            <a:effectLst/>
          </a:endParaRPr>
        </a:p>
        <a:p>
          <a:pPr lvl="1"/>
          <a:r>
            <a:rPr lang="en-US" sz="1200">
              <a:solidFill>
                <a:schemeClr val="dk1"/>
              </a:solidFill>
              <a:effectLst/>
              <a:latin typeface="+mn-lt"/>
              <a:ea typeface="+mn-ea"/>
              <a:cs typeface="+mn-cs"/>
            </a:rPr>
            <a:t>Right-click anywhere within the pivot table.</a:t>
          </a:r>
          <a:endParaRPr lang="en-US" sz="1200">
            <a:effectLst/>
          </a:endParaRPr>
        </a:p>
        <a:p>
          <a:pPr lvl="1"/>
          <a:r>
            <a:rPr lang="en-US" sz="1200">
              <a:solidFill>
                <a:schemeClr val="dk1"/>
              </a:solidFill>
              <a:effectLst/>
              <a:latin typeface="+mn-lt"/>
              <a:ea typeface="+mn-ea"/>
              <a:cs typeface="+mn-cs"/>
            </a:rPr>
            <a:t>Select </a:t>
          </a:r>
          <a:r>
            <a:rPr lang="en-US" sz="1200" b="1">
              <a:solidFill>
                <a:schemeClr val="dk1"/>
              </a:solidFill>
              <a:effectLst/>
              <a:latin typeface="+mn-lt"/>
              <a:ea typeface="+mn-ea"/>
              <a:cs typeface="+mn-cs"/>
            </a:rPr>
            <a:t>Refresh</a:t>
          </a:r>
          <a:r>
            <a:rPr lang="en-US" sz="1200">
              <a:solidFill>
                <a:schemeClr val="dk1"/>
              </a:solidFill>
              <a:effectLst/>
              <a:latin typeface="+mn-lt"/>
              <a:ea typeface="+mn-ea"/>
              <a:cs typeface="+mn-cs"/>
            </a:rPr>
            <a:t> from the context menu.</a:t>
          </a:r>
          <a:endParaRPr lang="en-US" sz="1200">
            <a:effectLst/>
          </a:endParaRPr>
        </a:p>
        <a:p>
          <a:pPr lvl="1"/>
          <a:r>
            <a:rPr lang="en-US" sz="1200">
              <a:solidFill>
                <a:schemeClr val="dk1"/>
              </a:solidFill>
              <a:effectLst/>
              <a:latin typeface="+mn-lt"/>
              <a:ea typeface="+mn-ea"/>
              <a:cs typeface="+mn-cs"/>
            </a:rPr>
            <a:t>Repeat this for all pivot tables to ensure the data updates across all summaries.</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Interpret Visualisations</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Use charts to identify seasonal trends, top-performing content types, and platform-specific engagement.</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Customise Pivot Tables</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Filter or modify pivot tables to focus on specific months, platforms, or content types.</a:t>
          </a:r>
          <a:endParaRPr lang="en-US" sz="1200">
            <a:effectLst/>
          </a:endParaRPr>
        </a:p>
        <a:p>
          <a:endParaRPr lang="en-US" sz="1100"/>
        </a:p>
      </xdr:txBody>
    </xdr:sp>
    <xdr:clientData/>
  </xdr:twoCellAnchor>
  <xdr:twoCellAnchor>
    <xdr:from>
      <xdr:col>6</xdr:col>
      <xdr:colOff>333375</xdr:colOff>
      <xdr:row>50</xdr:row>
      <xdr:rowOff>28575</xdr:rowOff>
    </xdr:from>
    <xdr:to>
      <xdr:col>22</xdr:col>
      <xdr:colOff>200025</xdr:colOff>
      <xdr:row>61</xdr:row>
      <xdr:rowOff>38100</xdr:rowOff>
    </xdr:to>
    <xdr:sp macro="" textlink="">
      <xdr:nvSpPr>
        <xdr:cNvPr id="6" name="TextBox 5">
          <a:extLst>
            <a:ext uri="{FF2B5EF4-FFF2-40B4-BE49-F238E27FC236}">
              <a16:creationId xmlns:a16="http://schemas.microsoft.com/office/drawing/2014/main" id="{B66E0452-0AAF-484E-AE3F-D78CEA59D215}"/>
            </a:ext>
          </a:extLst>
        </xdr:cNvPr>
        <xdr:cNvSpPr txBox="1"/>
      </xdr:nvSpPr>
      <xdr:spPr>
        <a:xfrm>
          <a:off x="4007304" y="9553575"/>
          <a:ext cx="9663792" cy="2105025"/>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u="sng">
              <a:solidFill>
                <a:schemeClr val="dk1"/>
              </a:solidFill>
              <a:effectLst>
                <a:outerShdw blurRad="50800" dist="38100" dir="10800000" algn="r" rotWithShape="0">
                  <a:prstClr val="black">
                    <a:alpha val="40000"/>
                  </a:prstClr>
                </a:outerShdw>
              </a:effectLst>
              <a:latin typeface="+mn-lt"/>
              <a:ea typeface="+mn-ea"/>
              <a:cs typeface="+mn-cs"/>
            </a:rPr>
            <a:t>4. INSIGHTS DERIVED FROM THE TRACKER</a:t>
          </a:r>
          <a:r>
            <a:rPr lang="en-US" sz="1800" b="1" u="sng">
              <a:solidFill>
                <a:schemeClr val="dk1"/>
              </a:solidFill>
              <a:effectLst/>
              <a:latin typeface="+mn-lt"/>
              <a:ea typeface="+mn-ea"/>
              <a:cs typeface="+mn-cs"/>
            </a:rPr>
            <a:t>:</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Seasonal Trends</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Engagement peaks in March, May, and December, suggesting high</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performing content should align with seasonal or holiday themes.</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Top</a:t>
          </a:r>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Performing Content Type</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Product Swatches have the highest average engagement rate (19.0%), followed by Unboxing (16.3%).</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Platform Performance</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TikTok generates 60% of total engagement, making it crucial for high</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visibility campaigns.</a:t>
          </a:r>
          <a:endParaRPr lang="en-US" sz="1800">
            <a:effectLst/>
          </a:endParaRPr>
        </a:p>
        <a:p>
          <a:endParaRPr lang="en-US" sz="1100"/>
        </a:p>
      </xdr:txBody>
    </xdr:sp>
    <xdr:clientData/>
  </xdr:twoCellAnchor>
  <xdr:twoCellAnchor>
    <xdr:from>
      <xdr:col>6</xdr:col>
      <xdr:colOff>352426</xdr:colOff>
      <xdr:row>62</xdr:row>
      <xdr:rowOff>85725</xdr:rowOff>
    </xdr:from>
    <xdr:to>
      <xdr:col>22</xdr:col>
      <xdr:colOff>276226</xdr:colOff>
      <xdr:row>71</xdr:row>
      <xdr:rowOff>85724</xdr:rowOff>
    </xdr:to>
    <xdr:sp macro="" textlink="">
      <xdr:nvSpPr>
        <xdr:cNvPr id="7" name="TextBox 6">
          <a:extLst>
            <a:ext uri="{FF2B5EF4-FFF2-40B4-BE49-F238E27FC236}">
              <a16:creationId xmlns:a16="http://schemas.microsoft.com/office/drawing/2014/main" id="{C7C3C999-85AE-458F-BF6C-4F40C0C50CC1}"/>
            </a:ext>
          </a:extLst>
        </xdr:cNvPr>
        <xdr:cNvSpPr txBox="1"/>
      </xdr:nvSpPr>
      <xdr:spPr>
        <a:xfrm>
          <a:off x="4026355" y="11896725"/>
          <a:ext cx="9720942" cy="1714499"/>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5. POTENTIAL IMPROVEMENTS:</a:t>
          </a:r>
          <a:endParaRPr lang="en-US" sz="1800">
            <a:effectLst>
              <a:outerShdw blurRad="50800" dist="38100" dir="10800000" algn="r" rotWithShape="0">
                <a:prstClr val="black">
                  <a:alpha val="40000"/>
                </a:prstClr>
              </a:outerShdw>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Automate data updates using macros or scripts.</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Expand to other platforms like YouTube or Pinterest.</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Integrate forecasting to predict future engagement trends.</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Build an interactive dashboard for real-time reporting.</a:t>
          </a:r>
          <a:endParaRPr lang="en-US" sz="1800">
            <a:effectLst/>
          </a:endParaRP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276226</xdr:colOff>
      <xdr:row>30</xdr:row>
      <xdr:rowOff>161925</xdr:rowOff>
    </xdr:from>
    <xdr:to>
      <xdr:col>25</xdr:col>
      <xdr:colOff>161926</xdr:colOff>
      <xdr:row>48</xdr:row>
      <xdr:rowOff>47625</xdr:rowOff>
    </xdr:to>
    <xdr:sp macro="" textlink="">
      <xdr:nvSpPr>
        <xdr:cNvPr id="2" name="Rectangle: Rounded Corners 1">
          <a:extLst>
            <a:ext uri="{FF2B5EF4-FFF2-40B4-BE49-F238E27FC236}">
              <a16:creationId xmlns:a16="http://schemas.microsoft.com/office/drawing/2014/main" id="{5C965018-348F-458C-9BC7-2F6BE1B61F14}"/>
            </a:ext>
          </a:extLst>
        </xdr:cNvPr>
        <xdr:cNvSpPr/>
      </xdr:nvSpPr>
      <xdr:spPr>
        <a:xfrm>
          <a:off x="2171701" y="5876925"/>
          <a:ext cx="13296900" cy="3314700"/>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15</xdr:col>
      <xdr:colOff>76199</xdr:colOff>
      <xdr:row>14</xdr:row>
      <xdr:rowOff>28575</xdr:rowOff>
    </xdr:from>
    <xdr:to>
      <xdr:col>25</xdr:col>
      <xdr:colOff>228600</xdr:colOff>
      <xdr:row>29</xdr:row>
      <xdr:rowOff>57151</xdr:rowOff>
    </xdr:to>
    <xdr:sp macro="" textlink="">
      <xdr:nvSpPr>
        <xdr:cNvPr id="3" name="Rectangle: Rounded Corners 2">
          <a:extLst>
            <a:ext uri="{FF2B5EF4-FFF2-40B4-BE49-F238E27FC236}">
              <a16:creationId xmlns:a16="http://schemas.microsoft.com/office/drawing/2014/main" id="{2CDE7DD7-2FA2-41CD-A8F8-676FB2A455E8}"/>
            </a:ext>
          </a:extLst>
        </xdr:cNvPr>
        <xdr:cNvSpPr/>
      </xdr:nvSpPr>
      <xdr:spPr>
        <a:xfrm>
          <a:off x="9286874" y="2695575"/>
          <a:ext cx="6248401" cy="2886076"/>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3</xdr:col>
      <xdr:colOff>219073</xdr:colOff>
      <xdr:row>13</xdr:row>
      <xdr:rowOff>180976</xdr:rowOff>
    </xdr:from>
    <xdr:to>
      <xdr:col>14</xdr:col>
      <xdr:colOff>342900</xdr:colOff>
      <xdr:row>29</xdr:row>
      <xdr:rowOff>57150</xdr:rowOff>
    </xdr:to>
    <xdr:sp macro="" textlink="">
      <xdr:nvSpPr>
        <xdr:cNvPr id="4" name="Rectangle: Rounded Corners 3">
          <a:extLst>
            <a:ext uri="{FF2B5EF4-FFF2-40B4-BE49-F238E27FC236}">
              <a16:creationId xmlns:a16="http://schemas.microsoft.com/office/drawing/2014/main" id="{47522815-204E-475E-A171-0E222DF00208}"/>
            </a:ext>
          </a:extLst>
        </xdr:cNvPr>
        <xdr:cNvSpPr/>
      </xdr:nvSpPr>
      <xdr:spPr>
        <a:xfrm>
          <a:off x="2114548" y="2657476"/>
          <a:ext cx="6829427" cy="2924174"/>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4</xdr:col>
      <xdr:colOff>19051</xdr:colOff>
      <xdr:row>31</xdr:row>
      <xdr:rowOff>28574</xdr:rowOff>
    </xdr:from>
    <xdr:to>
      <xdr:col>24</xdr:col>
      <xdr:colOff>409575</xdr:colOff>
      <xdr:row>47</xdr:row>
      <xdr:rowOff>190499</xdr:rowOff>
    </xdr:to>
    <xdr:graphicFrame macro="">
      <xdr:nvGraphicFramePr>
        <xdr:cNvPr id="5" name="Chart 4">
          <a:extLst>
            <a:ext uri="{FF2B5EF4-FFF2-40B4-BE49-F238E27FC236}">
              <a16:creationId xmlns:a16="http://schemas.microsoft.com/office/drawing/2014/main" id="{9BCA1EEE-3CF1-4AD0-BB8C-0FA2BD91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371475</xdr:colOff>
      <xdr:row>14</xdr:row>
      <xdr:rowOff>104776</xdr:rowOff>
    </xdr:from>
    <xdr:to>
      <xdr:col>24</xdr:col>
      <xdr:colOff>504824</xdr:colOff>
      <xdr:row>28</xdr:row>
      <xdr:rowOff>152400</xdr:rowOff>
    </xdr:to>
    <xdr:graphicFrame macro="">
      <xdr:nvGraphicFramePr>
        <xdr:cNvPr id="7" name="Chart 6">
          <a:extLst>
            <a:ext uri="{FF2B5EF4-FFF2-40B4-BE49-F238E27FC236}">
              <a16:creationId xmlns:a16="http://schemas.microsoft.com/office/drawing/2014/main" id="{0C38CC15-2B6F-4957-A7E6-FA03D5B07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228600</xdr:colOff>
      <xdr:row>6</xdr:row>
      <xdr:rowOff>47625</xdr:rowOff>
    </xdr:from>
    <xdr:to>
      <xdr:col>11</xdr:col>
      <xdr:colOff>38100</xdr:colOff>
      <xdr:row>12</xdr:row>
      <xdr:rowOff>180975</xdr:rowOff>
    </xdr:to>
    <mc:AlternateContent xmlns:mc="http://schemas.openxmlformats.org/markup-compatibility/2006" xmlns:a14="http://schemas.microsoft.com/office/drawing/2010/main">
      <mc:Choice Requires="a14">
        <xdr:graphicFrame macro="">
          <xdr:nvGraphicFramePr>
            <xdr:cNvPr id="8" name="Platform 1">
              <a:extLst>
                <a:ext uri="{FF2B5EF4-FFF2-40B4-BE49-F238E27FC236}">
                  <a16:creationId xmlns:a16="http://schemas.microsoft.com/office/drawing/2014/main" id="{9B079AAF-A726-434B-B7D5-8089398515D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578350" y="1190625"/>
              <a:ext cx="2264833"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6</xdr:row>
      <xdr:rowOff>47624</xdr:rowOff>
    </xdr:from>
    <xdr:to>
      <xdr:col>14</xdr:col>
      <xdr:colOff>600075</xdr:colOff>
      <xdr:row>12</xdr:row>
      <xdr:rowOff>190499</xdr:rowOff>
    </xdr:to>
    <mc:AlternateContent xmlns:mc="http://schemas.openxmlformats.org/markup-compatibility/2006" xmlns:a14="http://schemas.microsoft.com/office/drawing/2010/main">
      <mc:Choice Requires="a14">
        <xdr:graphicFrame macro="">
          <xdr:nvGraphicFramePr>
            <xdr:cNvPr id="9" name="Content Type 1">
              <a:extLst>
                <a:ext uri="{FF2B5EF4-FFF2-40B4-BE49-F238E27FC236}">
                  <a16:creationId xmlns:a16="http://schemas.microsoft.com/office/drawing/2014/main" id="{9279FEB1-1155-4097-8E69-211BD72760FE}"/>
                </a:ext>
              </a:extLst>
            </xdr:cNvPr>
            <xdr:cNvGraphicFramePr/>
          </xdr:nvGraphicFramePr>
          <xdr:xfrm>
            <a:off x="0" y="0"/>
            <a:ext cx="0" cy="0"/>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6967008" y="1190624"/>
              <a:ext cx="227965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6</xdr:row>
      <xdr:rowOff>38101</xdr:rowOff>
    </xdr:from>
    <xdr:to>
      <xdr:col>7</xdr:col>
      <xdr:colOff>133350</xdr:colOff>
      <xdr:row>12</xdr:row>
      <xdr:rowOff>171450</xdr:rowOff>
    </xdr:to>
    <mc:AlternateContent xmlns:mc="http://schemas.openxmlformats.org/markup-compatibility/2006" xmlns:a14="http://schemas.microsoft.com/office/drawing/2010/main">
      <mc:Choice Requires="a14">
        <xdr:graphicFrame macro="">
          <xdr:nvGraphicFramePr>
            <xdr:cNvPr id="10" name="Months 1">
              <a:extLst>
                <a:ext uri="{FF2B5EF4-FFF2-40B4-BE49-F238E27FC236}">
                  <a16:creationId xmlns:a16="http://schemas.microsoft.com/office/drawing/2014/main" id="{15EC50C7-C9D7-49E9-8E4D-C3E2553FBAC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56342" y="1181101"/>
              <a:ext cx="2426758"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123823</xdr:colOff>
      <xdr:row>6</xdr:row>
      <xdr:rowOff>9526</xdr:rowOff>
    </xdr:from>
    <xdr:to>
      <xdr:col>25</xdr:col>
      <xdr:colOff>142874</xdr:colOff>
      <xdr:row>12</xdr:row>
      <xdr:rowOff>161925</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074CBB2D-930E-4299-9259-FEADFF7FE45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384240" y="1152526"/>
              <a:ext cx="6157384" cy="12953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600076</xdr:colOff>
      <xdr:row>0</xdr:row>
      <xdr:rowOff>133350</xdr:rowOff>
    </xdr:from>
    <xdr:to>
      <xdr:col>18</xdr:col>
      <xdr:colOff>190500</xdr:colOff>
      <xdr:row>4</xdr:row>
      <xdr:rowOff>57150</xdr:rowOff>
    </xdr:to>
    <xdr:sp macro="" textlink="">
      <xdr:nvSpPr>
        <xdr:cNvPr id="12" name="TextBox 11">
          <a:extLst>
            <a:ext uri="{FF2B5EF4-FFF2-40B4-BE49-F238E27FC236}">
              <a16:creationId xmlns:a16="http://schemas.microsoft.com/office/drawing/2014/main" id="{4F95C533-9214-4243-A12E-BE881BED6506}"/>
            </a:ext>
          </a:extLst>
        </xdr:cNvPr>
        <xdr:cNvSpPr txBox="1"/>
      </xdr:nvSpPr>
      <xdr:spPr>
        <a:xfrm>
          <a:off x="5543551" y="133350"/>
          <a:ext cx="5686424" cy="685800"/>
        </a:xfrm>
        <a:prstGeom prst="roundRect">
          <a:avLst/>
        </a:prstGeom>
        <a:solidFill>
          <a:schemeClr val="accent2">
            <a:lumMod val="20000"/>
            <a:lumOff val="80000"/>
          </a:schemeClr>
        </a:solid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u="none" kern="1200">
              <a:solidFill>
                <a:schemeClr val="bg1"/>
              </a:solidFill>
              <a:latin typeface="Amasis MT Pro Black" panose="020F0502020204030204" pitchFamily="18" charset="0"/>
            </a:rPr>
            <a:t>DASHBOARD</a:t>
          </a:r>
        </a:p>
      </xdr:txBody>
    </xdr:sp>
    <xdr:clientData/>
  </xdr:twoCellAnchor>
  <xdr:twoCellAnchor>
    <xdr:from>
      <xdr:col>3</xdr:col>
      <xdr:colOff>552450</xdr:colOff>
      <xdr:row>14</xdr:row>
      <xdr:rowOff>47625</xdr:rowOff>
    </xdr:from>
    <xdr:to>
      <xdr:col>13</xdr:col>
      <xdr:colOff>561975</xdr:colOff>
      <xdr:row>29</xdr:row>
      <xdr:rowOff>9524</xdr:rowOff>
    </xdr:to>
    <xdr:graphicFrame macro="">
      <xdr:nvGraphicFramePr>
        <xdr:cNvPr id="13" name="Chart 12">
          <a:extLst>
            <a:ext uri="{FF2B5EF4-FFF2-40B4-BE49-F238E27FC236}">
              <a16:creationId xmlns:a16="http://schemas.microsoft.com/office/drawing/2014/main" id="{0450F4CB-1CF2-4A0D-A181-124552787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G:\My%20Drive\Projects\SMAnalyticsTracke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 Salik" refreshedDate="45673.729889814815" createdVersion="8" refreshedVersion="8" minRefreshableVersion="3" recordCount="52" xr:uid="{FC7FBD72-326A-4559-B556-0B003CB3FF14}">
  <cacheSource type="worksheet">
    <worksheetSource name="Table1" r:id="rId2"/>
  </cacheSource>
  <cacheFields count="13">
    <cacheField name="Date" numFmtId="14">
      <sharedItems containsSemiMixedTypes="0" containsNonDate="0" containsDate="1" containsString="0" minDate="2024-01-05T00:00:00" maxDate="2024-12-28T00:00:00" count="52">
        <d v="2024-01-05T00:00:00"/>
        <d v="2024-01-12T00:00:00"/>
        <d v="2024-01-19T00:00:00"/>
        <d v="2024-01-26T00:00:00"/>
        <d v="2024-02-02T00:00:00"/>
        <d v="2024-02-09T00:00:00"/>
        <d v="2024-02-16T00:00:00"/>
        <d v="2024-02-23T00:00:00"/>
        <d v="2024-03-01T00:00:00"/>
        <d v="2024-03-08T00:00:00"/>
        <d v="2024-03-15T00:00:00"/>
        <d v="2024-03-22T00:00:00"/>
        <d v="2024-03-29T00:00:00"/>
        <d v="2024-04-05T00:00:00"/>
        <d v="2024-04-12T00:00:00"/>
        <d v="2024-04-19T00:00:00"/>
        <d v="2024-04-26T00:00:00"/>
        <d v="2024-05-03T00:00:00"/>
        <d v="2024-05-10T00:00:00"/>
        <d v="2024-05-17T00:00:00"/>
        <d v="2024-05-24T00:00:00"/>
        <d v="2024-05-31T00:00:00"/>
        <d v="2024-06-07T00:00:00"/>
        <d v="2024-06-14T00:00:00"/>
        <d v="2024-06-21T00:00:00"/>
        <d v="2024-06-28T00:00:00"/>
        <d v="2024-07-05T00:00:00"/>
        <d v="2024-07-12T00:00:00"/>
        <d v="2024-07-19T00:00:00"/>
        <d v="2024-07-26T00:00:00"/>
        <d v="2024-08-02T00:00:00"/>
        <d v="2024-08-09T00:00:00"/>
        <d v="2024-08-16T00:00:00"/>
        <d v="2024-08-23T00:00:00"/>
        <d v="2024-08-30T00:00:00"/>
        <d v="2024-09-06T00:00:00"/>
        <d v="2024-09-13T00:00:00"/>
        <d v="2024-09-20T00:00:00"/>
        <d v="2024-09-27T00:00:00"/>
        <d v="2024-10-04T00:00:00"/>
        <d v="2024-10-11T00:00:00"/>
        <d v="2024-10-18T00:00:00"/>
        <d v="2024-10-25T00:00:00"/>
        <d v="2024-11-01T00:00:00"/>
        <d v="2024-11-08T00:00:00"/>
        <d v="2024-11-15T00:00:00"/>
        <d v="2024-11-22T00:00:00"/>
        <d v="2024-11-29T00:00:00"/>
        <d v="2024-12-06T00:00:00"/>
        <d v="2024-12-13T00:00:00"/>
        <d v="2024-12-20T00:00:00"/>
        <d v="2024-12-27T00:00:00"/>
      </sharedItems>
    </cacheField>
    <cacheField name="Platform" numFmtId="0">
      <sharedItems count="2">
        <s v="Instagram"/>
        <s v="TikTok"/>
      </sharedItems>
    </cacheField>
    <cacheField name="Content Type" numFmtId="0">
      <sharedItems count="3">
        <s v="Product Swatch"/>
        <s v="Unboxing"/>
        <s v="Aesthetic Shots"/>
      </sharedItems>
    </cacheField>
    <cacheField name="Caption/Hashtags" numFmtId="0">
      <sharedItems/>
    </cacheField>
    <cacheField name="Engagement Type" numFmtId="0">
      <sharedItems/>
    </cacheField>
    <cacheField name="Views" numFmtId="1">
      <sharedItems containsSemiMixedTypes="0" containsString="0" containsNumber="1" containsInteger="1" minValue="1268" maxValue="2300067"/>
    </cacheField>
    <cacheField name="Likes" numFmtId="1">
      <sharedItems containsSemiMixedTypes="0" containsString="0" containsNumber="1" containsInteger="1" minValue="20" maxValue="137462"/>
    </cacheField>
    <cacheField name="Comments" numFmtId="1">
      <sharedItems containsSemiMixedTypes="0" containsString="0" containsNumber="1" containsInteger="1" minValue="3" maxValue="800"/>
    </cacheField>
    <cacheField name="Shares " numFmtId="1">
      <sharedItems containsMixedTypes="1" containsNumber="1" containsInteger="1" minValue="10" maxValue="1200"/>
    </cacheField>
    <cacheField name="Saves" numFmtId="1">
      <sharedItems containsMixedTypes="1" containsNumber="1" containsInteger="1" minValue="6" maxValue="8079"/>
    </cacheField>
    <cacheField name="Engagment rate %" numFmtId="164">
      <sharedItems containsSemiMixedTypes="0" containsString="0" containsNumber="1" minValue="9.2338230863300425E-3" maxValue="0.19" count="52">
        <n v="0.1"/>
        <n v="1.1010617381046009E-2"/>
        <n v="5.7250000000000002E-2"/>
        <n v="9.2338230863300425E-3"/>
        <n v="6.1533333333333336E-2"/>
        <n v="1.9716088328075709E-2"/>
        <n v="4.7770069375619423E-2"/>
        <n v="4.9059875212330774E-2"/>
        <n v="6.8353624572292507E-2"/>
        <n v="8.0960037791040981E-2"/>
        <n v="0.10855555555555556"/>
        <n v="8.9775062251553892E-2"/>
        <n v="0.19"/>
        <n v="5.7381571687554186E-2"/>
        <n v="0.10076704434840167"/>
        <n v="7.3127770136023229E-2"/>
        <n v="8.2465733576574593E-2"/>
        <n v="0.10839090482259038"/>
        <n v="0.15500981167442815"/>
        <n v="0.15994178942599432"/>
        <n v="0.15879370162796905"/>
        <n v="0.16276652061050201"/>
        <n v="0.13681071698784994"/>
        <n v="0.15055697162008516"/>
        <n v="0.14869630892247143"/>
        <n v="0.1531875"/>
        <n v="0.15315826353899029"/>
        <n v="0.16414683513248282"/>
        <n v="0.16295597940387266"/>
        <n v="0.15573948156413817"/>
        <n v="0.13183660849251064"/>
        <n v="0.13914860435009729"/>
        <n v="0.1446494711201575"/>
        <n v="0.14961538461538462"/>
        <n v="0.14524707016587246"/>
        <n v="0.15937639640534235"/>
        <n v="0.15182028283308685"/>
        <n v="0.1562241060615718"/>
        <n v="0.1582542847903417"/>
        <n v="0.15813643213237003"/>
        <n v="0.15895438728364902"/>
        <n v="0.16357714968201884"/>
        <n v="0.15492240109065369"/>
        <n v="0.1547965034729625"/>
        <n v="0.15621175779529101"/>
        <n v="0.14872863519911034"/>
        <n v="0.14849216462119688"/>
        <n v="0.14956350217029646"/>
        <n v="0.14884557596427289"/>
        <n v="0.15534709549878345"/>
        <n v="0.16021828158932486"/>
        <n v="0.16035395929684707"/>
      </sharedItems>
    </cacheField>
    <cacheField name="Months" numFmtId="1">
      <sharedItems count="12">
        <s v="January"/>
        <s v="February"/>
        <s v="March"/>
        <s v="April"/>
        <s v="May"/>
        <s v="June"/>
        <s v="July"/>
        <s v="August"/>
        <s v="September"/>
        <s v="October"/>
        <s v="November"/>
        <s v="December"/>
      </sharedItems>
    </cacheField>
    <cacheField name="Total Engagment" numFmtId="1">
      <sharedItems containsSemiMixedTypes="0" containsString="0" containsNumber="1" minValue="25.019716088328074" maxValue="137736.08246573358"/>
    </cacheField>
  </cacheFields>
  <extLst>
    <ext xmlns:x14="http://schemas.microsoft.com/office/spreadsheetml/2009/9/main" uri="{725AE2AE-9491-48be-B2B4-4EB974FC3084}">
      <x14:pivotCacheDefinition pivotCacheId="8168408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s v="#beauty #swatch #WinterProducts _x000a_#PinkMakeup"/>
    <s v="Post"/>
    <n v="2450"/>
    <n v="207"/>
    <n v="15"/>
    <n v="10"/>
    <n v="13"/>
    <x v="0"/>
    <x v="0"/>
    <n v="245.1"/>
  </r>
  <r>
    <x v="1"/>
    <x v="1"/>
    <x v="1"/>
    <s v="You need this! _x000a_#Unboxing #GirlyThings _x000a_#MinimalBeauty"/>
    <s v="Video"/>
    <n v="15258"/>
    <n v="147"/>
    <n v="3"/>
    <n v="12"/>
    <n v="6"/>
    <x v="1"/>
    <x v="0"/>
    <n v="168.01101061738103"/>
  </r>
  <r>
    <x v="2"/>
    <x v="0"/>
    <x v="2"/>
    <s v="Clean vibes #Minimalism #NeutralTones #WinterGlow"/>
    <s v="Post"/>
    <n v="8000"/>
    <n v="376"/>
    <n v="25"/>
    <n v="17"/>
    <n v="40"/>
    <x v="2"/>
    <x v="0"/>
    <n v="458.05725000000001"/>
  </r>
  <r>
    <x v="3"/>
    <x v="1"/>
    <x v="0"/>
    <s v="Trending shades #Beauty #BrownLipGloss #SoftGlam"/>
    <s v="Video"/>
    <n v="902768"/>
    <n v="7503"/>
    <n v="258"/>
    <n v="248"/>
    <n v="327"/>
    <x v="3"/>
    <x v="0"/>
    <n v="8336.0092338230861"/>
  </r>
  <r>
    <x v="4"/>
    <x v="0"/>
    <x v="1"/>
    <s v="Pinterest haul #BeautyLovers #PinkProducts #AestheticBeauty"/>
    <s v="Post"/>
    <n v="15000"/>
    <n v="748"/>
    <n v="80"/>
    <n v="37"/>
    <n v="58"/>
    <x v="4"/>
    <x v="1"/>
    <n v="923.06153333333339"/>
  </r>
  <r>
    <x v="5"/>
    <x v="1"/>
    <x v="2"/>
    <s v="#SoftGlam #PinterestStyle #ValentinesDayVibes"/>
    <s v="Story"/>
    <n v="1268"/>
    <n v="20"/>
    <n v="5"/>
    <s v="N/A"/>
    <s v="N/A"/>
    <x v="5"/>
    <x v="1"/>
    <n v="25.019716088328074"/>
  </r>
  <r>
    <x v="6"/>
    <x v="0"/>
    <x v="0"/>
    <s v="#HandArt #BeautyLovers #WinterMakeup #NeutralProducts"/>
    <s v="Post"/>
    <n v="10090"/>
    <n v="400"/>
    <n v="47"/>
    <n v="14"/>
    <n v="21"/>
    <x v="6"/>
    <x v="1"/>
    <n v="482.04777006937564"/>
  </r>
  <r>
    <x v="7"/>
    <x v="1"/>
    <x v="1"/>
    <s v="New beauty must-haves! #GirlyThings #AestheticProducts #LuxuryUnboxing"/>
    <s v="Video"/>
    <n v="2300067"/>
    <n v="102762"/>
    <n v="800"/>
    <n v="1200"/>
    <n v="8079"/>
    <x v="7"/>
    <x v="1"/>
    <n v="112841.04905987521"/>
  </r>
  <r>
    <x v="8"/>
    <x v="0"/>
    <x v="2"/>
    <s v="Soft tones #NeutralBeauty #MinimalVibes #EverydayMakeup"/>
    <s v="Post"/>
    <n v="12567"/>
    <n v="722"/>
    <n v="60"/>
    <n v="37"/>
    <n v="40"/>
    <x v="8"/>
    <x v="2"/>
    <n v="859.0683536245723"/>
  </r>
  <r>
    <x v="9"/>
    <x v="1"/>
    <x v="0"/>
    <s v="Swatch party #BeautyBlog #PinkShades #SpringReady"/>
    <s v="Video"/>
    <n v="110079"/>
    <n v="8067"/>
    <n v="500"/>
    <n v="208"/>
    <n v="137"/>
    <x v="9"/>
    <x v="2"/>
    <n v="8912.0809600377906"/>
  </r>
  <r>
    <x v="10"/>
    <x v="0"/>
    <x v="1"/>
    <s v="These are my favourites! #FallProducts #BrownLipGloss #GirlyEssentials"/>
    <s v="Post"/>
    <n v="9000"/>
    <n v="712"/>
    <n v="54"/>
    <n v="61"/>
    <n v="150"/>
    <x v="10"/>
    <x v="2"/>
    <n v="977.10855555555554"/>
  </r>
  <r>
    <x v="11"/>
    <x v="1"/>
    <x v="2"/>
    <s v="#AestheticVibes #MinimalistBeauty #BrownTones"/>
    <s v="Video"/>
    <n v="624884"/>
    <n v="54568"/>
    <n v="458"/>
    <n v="400"/>
    <n v="673"/>
    <x v="11"/>
    <x v="2"/>
    <n v="56099.089775062253"/>
  </r>
  <r>
    <x v="12"/>
    <x v="0"/>
    <x v="0"/>
    <s v="Swatch party #NeutralShades #SoftGlam #LipSwatches"/>
    <s v="Post"/>
    <n v="2500"/>
    <n v="400"/>
    <n v="20"/>
    <n v="15"/>
    <n v="40"/>
    <x v="12"/>
    <x v="2"/>
    <n v="475.19"/>
  </r>
  <r>
    <x v="13"/>
    <x v="1"/>
    <x v="1"/>
    <s v="These new shades are stunning! #BeautyProducts #GirlyThings #LuxuryHaul"/>
    <s v="Video"/>
    <n v="1205265"/>
    <n v="67890"/>
    <n v="328"/>
    <n v="466"/>
    <n v="476"/>
    <x v="13"/>
    <x v="3"/>
    <n v="69160.057381571693"/>
  </r>
  <r>
    <x v="14"/>
    <x v="0"/>
    <x v="2"/>
    <s v="Pink spring vibes #BlushProducts #PrettyInPink"/>
    <s v="Post"/>
    <n v="25683"/>
    <n v="2000"/>
    <n v="120"/>
    <n v="200"/>
    <n v="268"/>
    <x v="14"/>
    <x v="3"/>
    <n v="2588.1007670443482"/>
  </r>
  <r>
    <x v="15"/>
    <x v="1"/>
    <x v="0"/>
    <s v="Best neutral palette #SwatchTime #MinimalMakeup"/>
    <s v="Video"/>
    <n v="1570320"/>
    <n v="112636"/>
    <n v="600"/>
    <n v="570"/>
    <n v="1028"/>
    <x v="15"/>
    <x v="3"/>
    <n v="114834.07312777014"/>
  </r>
  <r>
    <x v="16"/>
    <x v="0"/>
    <x v="1"/>
    <s v="Neutral essentials #FallFavourites #BrownBeauty"/>
    <s v="Story"/>
    <n v="1670221"/>
    <n v="137462"/>
    <n v="274"/>
    <s v="N/A"/>
    <s v="N/A"/>
    <x v="16"/>
    <x v="3"/>
    <n v="137736.08246573358"/>
  </r>
  <r>
    <x v="17"/>
    <x v="1"/>
    <x v="2"/>
    <s v="Summer glow essentials #GlowUp #BeautyVibes"/>
    <s v="Video"/>
    <n v="14909"/>
    <n v="1006"/>
    <n v="200"/>
    <n v="60"/>
    <n v="350"/>
    <x v="17"/>
    <x v="4"/>
    <n v="1616.1083909048225"/>
  </r>
  <r>
    <x v="18"/>
    <x v="0"/>
    <x v="0"/>
    <s v="#BeachReady #TropicalVibes #SummerMakeup"/>
    <s v="Post"/>
    <n v="136572"/>
    <n v="20800"/>
    <n v="60"/>
    <n v="180"/>
    <n v="130"/>
    <x v="18"/>
    <x v="4"/>
    <n v="21170.155009811675"/>
  </r>
  <r>
    <x v="19"/>
    <x v="1"/>
    <x v="1"/>
    <s v="Unbox with me! #LuxuryBeauty #SummerMustHaves"/>
    <s v="Video"/>
    <n v="145678"/>
    <n v="22800"/>
    <n v="120"/>
    <n v="220"/>
    <n v="160"/>
    <x v="19"/>
    <x v="4"/>
    <n v="23300.159941789425"/>
  </r>
  <r>
    <x v="20"/>
    <x v="0"/>
    <x v="2"/>
    <s v="Fresh blooms and neutral tones #SpringMakeup #GlowingSkin"/>
    <s v="Post"/>
    <n v="134892"/>
    <n v="21000"/>
    <n v="100"/>
    <n v="180"/>
    <n v="140"/>
    <x v="20"/>
    <x v="4"/>
    <n v="21420.158793701627"/>
  </r>
  <r>
    <x v="21"/>
    <x v="1"/>
    <x v="0"/>
    <s v="Shimmering shades for summer #GlossyLips #GlamUp"/>
    <s v="Video"/>
    <n v="156789"/>
    <n v="25000"/>
    <n v="140"/>
    <n v="210"/>
    <n v="170"/>
    <x v="21"/>
    <x v="4"/>
    <n v="25520.162766520611"/>
  </r>
  <r>
    <x v="22"/>
    <x v="0"/>
    <x v="1"/>
    <s v="Unboxing my summer essentials #BeautyHaul #GirlyFinds"/>
    <s v="Post"/>
    <n v="112345"/>
    <n v="15000"/>
    <n v="60"/>
    <n v="180"/>
    <n v="130"/>
    <x v="22"/>
    <x v="5"/>
    <n v="15370.136810716987"/>
  </r>
  <r>
    <x v="23"/>
    <x v="1"/>
    <x v="2"/>
    <s v="#SummerGlow #FreshVibes #BeautyLooks"/>
    <s v="Video"/>
    <n v="134567"/>
    <n v="19800"/>
    <n v="110"/>
    <n v="190"/>
    <n v="160"/>
    <x v="23"/>
    <x v="5"/>
    <n v="20260.150556971621"/>
  </r>
  <r>
    <x v="24"/>
    <x v="0"/>
    <x v="0"/>
    <s v="#SummerShades #NeutralTones #BeachVibes"/>
    <s v="Post"/>
    <n v="144321"/>
    <n v="21000"/>
    <n v="120"/>
    <n v="190"/>
    <n v="150"/>
    <x v="24"/>
    <x v="5"/>
    <n v="21460.148696308923"/>
  </r>
  <r>
    <x v="25"/>
    <x v="1"/>
    <x v="1"/>
    <s v="These are a must-have! #LuxuryBeauty #SummerFinds"/>
    <s v="Video"/>
    <n v="160000"/>
    <n v="24000"/>
    <n v="130"/>
    <n v="210"/>
    <n v="170"/>
    <x v="25"/>
    <x v="5"/>
    <n v="24510.1531875"/>
  </r>
  <r>
    <x v="26"/>
    <x v="0"/>
    <x v="2"/>
    <s v="#TropicalBeauty #SummerVibes #SunshineMakeup"/>
    <s v="Post"/>
    <n v="119876"/>
    <n v="18000"/>
    <n v="80"/>
    <n v="160"/>
    <n v="120"/>
    <x v="26"/>
    <x v="6"/>
    <n v="18360.15315826354"/>
  </r>
  <r>
    <x v="27"/>
    <x v="1"/>
    <x v="0"/>
    <s v="Summer is here, check out these shades! #GlamOnTheGo"/>
    <s v="Video"/>
    <n v="130432"/>
    <n v="21000"/>
    <n v="100"/>
    <n v="180"/>
    <n v="130"/>
    <x v="27"/>
    <x v="6"/>
    <n v="21410.164146835134"/>
  </r>
  <r>
    <x v="28"/>
    <x v="0"/>
    <x v="1"/>
    <s v="Unboxing my must-haves for this summer #BeautyFavorites"/>
    <s v="Post"/>
    <n v="137890"/>
    <n v="22000"/>
    <n v="120"/>
    <n v="200"/>
    <n v="150"/>
    <x v="28"/>
    <x v="6"/>
    <n v="22470.162955979406"/>
  </r>
  <r>
    <x v="29"/>
    <x v="1"/>
    <x v="2"/>
    <s v="Glow up for the summer! #GlowUp #BeautyInspo"/>
    <s v="Video"/>
    <n v="124567"/>
    <n v="19000"/>
    <n v="90"/>
    <n v="170"/>
    <n v="140"/>
    <x v="29"/>
    <x v="6"/>
    <n v="19400.155739481565"/>
  </r>
  <r>
    <x v="30"/>
    <x v="0"/>
    <x v="0"/>
    <s v="Best shades for fall #AutumnVibes #BeautyLook"/>
    <s v="Post"/>
    <n v="116432"/>
    <n v="15000"/>
    <n v="70"/>
    <n v="160"/>
    <n v="120"/>
    <x v="30"/>
    <x v="7"/>
    <n v="15350.131836608492"/>
  </r>
  <r>
    <x v="31"/>
    <x v="1"/>
    <x v="1"/>
    <s v="Check out these new products #LuxuryBeautyHaul #NewInBeauty"/>
    <s v="Video"/>
    <n v="132089"/>
    <n v="18000"/>
    <n v="90"/>
    <n v="160"/>
    <n v="130"/>
    <x v="31"/>
    <x v="7"/>
    <n v="18380.13914860435"/>
  </r>
  <r>
    <x v="32"/>
    <x v="0"/>
    <x v="2"/>
    <s v="#AutumnGlow #BeautyRoutine #TonedSkin"/>
    <s v="Post"/>
    <n v="119876"/>
    <n v="17000"/>
    <n v="80"/>
    <n v="150"/>
    <n v="110"/>
    <x v="32"/>
    <x v="7"/>
    <n v="17340.14464947112"/>
  </r>
  <r>
    <x v="33"/>
    <x v="1"/>
    <x v="0"/>
    <s v="Fall shades are here #SoftGlam #BeautyTrends"/>
    <s v="Video"/>
    <n v="130000"/>
    <n v="19000"/>
    <n v="120"/>
    <n v="180"/>
    <n v="150"/>
    <x v="33"/>
    <x v="7"/>
    <n v="19450.149615384616"/>
  </r>
  <r>
    <x v="34"/>
    <x v="0"/>
    <x v="1"/>
    <s v="Fall essentials! #NewInBeauty #BeautyFaves"/>
    <s v="Post"/>
    <n v="126543"/>
    <n v="18000"/>
    <n v="90"/>
    <n v="160"/>
    <n v="130"/>
    <x v="34"/>
    <x v="7"/>
    <n v="18380.145247070166"/>
  </r>
  <r>
    <x v="35"/>
    <x v="1"/>
    <x v="2"/>
    <s v="Stay glowing all fall! #GlowUp #BeautyInspo"/>
    <s v="Video"/>
    <n v="140987"/>
    <n v="22000"/>
    <n v="120"/>
    <n v="200"/>
    <n v="150"/>
    <x v="35"/>
    <x v="8"/>
    <n v="22470.159376396405"/>
  </r>
  <r>
    <x v="36"/>
    <x v="0"/>
    <x v="0"/>
    <s v="The best fall shades! #MakeupHaul #FallLook"/>
    <s v="Post"/>
    <n v="134567"/>
    <n v="20000"/>
    <n v="110"/>
    <n v="180"/>
    <n v="140"/>
    <x v="36"/>
    <x v="8"/>
    <n v="20430.151820282834"/>
  </r>
  <r>
    <x v="37"/>
    <x v="1"/>
    <x v="1"/>
    <s v="Time for a new haul! #AutumnBeauty #BeautyAddicts"/>
    <s v="Video"/>
    <n v="156890"/>
    <n v="24000"/>
    <n v="130"/>
    <n v="210"/>
    <n v="170"/>
    <x v="37"/>
    <x v="8"/>
    <n v="24510.15622410606"/>
  </r>
  <r>
    <x v="38"/>
    <x v="0"/>
    <x v="2"/>
    <s v="Cozy vibes #FallAesthetic #BeautyRoutine"/>
    <s v="Post"/>
    <n v="148432"/>
    <n v="23000"/>
    <n v="120"/>
    <n v="210"/>
    <n v="160"/>
    <x v="38"/>
    <x v="8"/>
    <n v="23490.15825428479"/>
  </r>
  <r>
    <x v="39"/>
    <x v="1"/>
    <x v="0"/>
    <s v="Perfect for the fall season! #AutumnVibes #Swatches"/>
    <s v="Video"/>
    <n v="167893"/>
    <n v="26000"/>
    <n v="140"/>
    <n v="230"/>
    <n v="180"/>
    <x v="39"/>
    <x v="9"/>
    <n v="26550.158136432132"/>
  </r>
  <r>
    <x v="40"/>
    <x v="0"/>
    <x v="1"/>
    <s v="Unboxing my new autumn favorites! #BeautyHaul #FallMustHaves"/>
    <s v="Post"/>
    <n v="154321"/>
    <n v="24000"/>
    <n v="130"/>
    <n v="220"/>
    <n v="180"/>
    <x v="40"/>
    <x v="9"/>
    <n v="24530.158954387283"/>
  </r>
  <r>
    <x v="41"/>
    <x v="1"/>
    <x v="2"/>
    <s v="Autumn glow is real! #WarmTones #BeautyInspo"/>
    <s v="Video"/>
    <n v="162431"/>
    <n v="26000"/>
    <n v="150"/>
    <n v="230"/>
    <n v="190"/>
    <x v="41"/>
    <x v="9"/>
    <n v="26570.16357714968"/>
  </r>
  <r>
    <x v="42"/>
    <x v="0"/>
    <x v="0"/>
    <s v="Cozy fall vibes #NeutralShades #AutumnGlow"/>
    <s v="Post"/>
    <n v="145234"/>
    <n v="22000"/>
    <n v="130"/>
    <n v="200"/>
    <n v="170"/>
    <x v="42"/>
    <x v="9"/>
    <n v="22500.154922401092"/>
  </r>
  <r>
    <x v="43"/>
    <x v="1"/>
    <x v="1"/>
    <s v="Ready for winter! #BeautyHaul #CozyVibes"/>
    <s v="Video"/>
    <n v="178234"/>
    <n v="27000"/>
    <n v="150"/>
    <n v="240"/>
    <n v="200"/>
    <x v="43"/>
    <x v="10"/>
    <n v="27590.154796503473"/>
  </r>
  <r>
    <x v="44"/>
    <x v="0"/>
    <x v="2"/>
    <s v="Warmth and beauty for winter #WinterVibes #GlowUp"/>
    <s v="Post"/>
    <n v="163432"/>
    <n v="25000"/>
    <n v="140"/>
    <n v="210"/>
    <n v="180"/>
    <x v="44"/>
    <x v="10"/>
    <n v="25530.156211757796"/>
  </r>
  <r>
    <x v="45"/>
    <x v="1"/>
    <x v="0"/>
    <s v="Winter shades coming through! #BeautyHaul #WinterGlam"/>
    <s v="Video"/>
    <n v="192431"/>
    <n v="28000"/>
    <n v="160"/>
    <n v="250"/>
    <n v="210"/>
    <x v="45"/>
    <x v="10"/>
    <n v="28620.148728635198"/>
  </r>
  <r>
    <x v="46"/>
    <x v="0"/>
    <x v="1"/>
    <s v="My latest beauty haul! #WinterBeauty #LuxuryHaul"/>
    <s v="Post"/>
    <n v="178932"/>
    <n v="26000"/>
    <n v="140"/>
    <n v="230"/>
    <n v="200"/>
    <x v="46"/>
    <x v="10"/>
    <n v="26570.148492164622"/>
  </r>
  <r>
    <x v="47"/>
    <x v="1"/>
    <x v="2"/>
    <s v="The season of glow #BeautyVibes #WinterGlow"/>
    <s v="Video"/>
    <n v="184537"/>
    <n v="27000"/>
    <n v="150"/>
    <n v="240"/>
    <n v="210"/>
    <x v="47"/>
    <x v="10"/>
    <n v="27600.149563502171"/>
  </r>
  <r>
    <x v="48"/>
    <x v="0"/>
    <x v="0"/>
    <s v="New winter essentials #GlamTime #WinterShades"/>
    <s v="Post"/>
    <n v="192347"/>
    <n v="28000"/>
    <n v="160"/>
    <n v="250"/>
    <n v="220"/>
    <x v="48"/>
    <x v="11"/>
    <n v="28630.148845575965"/>
  </r>
  <r>
    <x v="49"/>
    <x v="1"/>
    <x v="1"/>
    <s v="Unboxing my holiday beauty must-haves #HolidayGlow"/>
    <s v="Video"/>
    <n v="210432"/>
    <n v="32000"/>
    <n v="180"/>
    <n v="280"/>
    <n v="230"/>
    <x v="49"/>
    <x v="11"/>
    <n v="32690.1553470955"/>
  </r>
  <r>
    <x v="50"/>
    <x v="0"/>
    <x v="2"/>
    <s v="Festive vibes only #HolidayBeauty #WinterGlow"/>
    <s v="Post"/>
    <n v="197543"/>
    <n v="31000"/>
    <n v="170"/>
    <n v="260"/>
    <n v="220"/>
    <x v="50"/>
    <x v="11"/>
    <n v="31650.160218281588"/>
  </r>
  <r>
    <x v="51"/>
    <x v="1"/>
    <x v="0"/>
    <s v="Wrapping up the year with these shades #HolidayBeauty"/>
    <s v="Video"/>
    <n v="184654"/>
    <n v="29000"/>
    <n v="160"/>
    <n v="240"/>
    <n v="210"/>
    <x v="51"/>
    <x v="11"/>
    <n v="29610.160353959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258C7-BA0F-4574-8BA3-29D78342A86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G5:H9" firstHeaderRow="1" firstDataRow="1"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
        <item x="0"/>
        <item h="1" x="1"/>
        <item t="default"/>
      </items>
    </pivotField>
    <pivotField axis="axisRow" showAll="0">
      <items count="4">
        <item x="2"/>
        <item x="0"/>
        <item x="1"/>
        <item t="default"/>
      </items>
    </pivotField>
    <pivotField showAll="0"/>
    <pivotField showAll="0"/>
    <pivotField numFmtId="1" showAll="0"/>
    <pivotField numFmtId="1" showAll="0"/>
    <pivotField numFmtId="1" showAll="0"/>
    <pivotField showAll="0"/>
    <pivotField showAll="0"/>
    <pivotField dataField="1" numFmtId="164" showAll="0"/>
    <pivotField showAll="0">
      <items count="13">
        <item x="0"/>
        <item x="1"/>
        <item x="2"/>
        <item x="3"/>
        <item x="4"/>
        <item x="5"/>
        <item x="6"/>
        <item x="7"/>
        <item x="8"/>
        <item x="9"/>
        <item x="10"/>
        <item x="11"/>
        <item t="default"/>
      </items>
    </pivotField>
    <pivotField numFmtId="1" showAll="0"/>
  </pivotFields>
  <rowFields count="1">
    <field x="2"/>
  </rowFields>
  <rowItems count="4">
    <i>
      <x/>
    </i>
    <i>
      <x v="1"/>
    </i>
    <i>
      <x v="2"/>
    </i>
    <i t="grand">
      <x/>
    </i>
  </rowItems>
  <colItems count="1">
    <i/>
  </colItems>
  <dataFields count="1">
    <dataField name="Max of Engagment rate %" fld="10" subtotal="max" baseField="2" baseItem="0" numFmtId="164"/>
  </dataFields>
  <formats count="6">
    <format dxfId="58">
      <pivotArea collapsedLevelsAreSubtotals="1" fieldPosition="0">
        <references count="1">
          <reference field="2" count="0"/>
        </references>
      </pivotArea>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s>
  <chartFormats count="3">
    <chartFormat chart="17"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75F4E-E36B-4B29-BF32-F93C08A8BBC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G16:H18" firstHeaderRow="1" firstDataRow="1"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3">
        <item x="0"/>
        <item h="1" x="1"/>
        <item t="default"/>
      </items>
    </pivotField>
    <pivotField showAll="0">
      <items count="4">
        <item x="2"/>
        <item x="0"/>
        <item x="1"/>
        <item t="default"/>
      </items>
    </pivotField>
    <pivotField showAll="0"/>
    <pivotField showAll="0"/>
    <pivotField numFmtId="1" showAll="0"/>
    <pivotField numFmtId="1" showAll="0"/>
    <pivotField numFmtId="1" showAll="0"/>
    <pivotField showAll="0"/>
    <pivotField showAll="0"/>
    <pivotField numFmtId="164" showAll="0"/>
    <pivotField showAll="0">
      <items count="13">
        <item x="0"/>
        <item x="1"/>
        <item x="2"/>
        <item x="3"/>
        <item x="4"/>
        <item x="5"/>
        <item x="6"/>
        <item x="7"/>
        <item x="8"/>
        <item x="9"/>
        <item x="10"/>
        <item x="11"/>
        <item t="default"/>
      </items>
    </pivotField>
    <pivotField dataField="1" numFmtId="1" showAll="0"/>
  </pivotFields>
  <rowFields count="1">
    <field x="1"/>
  </rowFields>
  <rowItems count="2">
    <i>
      <x/>
    </i>
    <i t="grand">
      <x/>
    </i>
  </rowItems>
  <colItems count="1">
    <i/>
  </colItems>
  <dataFields count="1">
    <dataField name="Sum of Total Engagment" fld="12" baseField="0" baseItem="0" numFmtId="1"/>
  </dataFields>
  <formats count="6">
    <format dxfId="64">
      <pivotArea type="all" dataOnly="0" outline="0" fieldPosition="0"/>
    </format>
    <format dxfId="63">
      <pivotArea outline="0" collapsedLevelsAreSubtotals="1" fieldPosition="0"/>
    </format>
    <format dxfId="62">
      <pivotArea type="origin" dataOnly="0" labelOnly="1" outline="0" fieldPosition="0"/>
    </format>
    <format dxfId="61">
      <pivotArea dataOnly="0" labelOnly="1" outline="0" axis="axisValues" fieldPosition="0"/>
    </format>
    <format dxfId="60">
      <pivotArea field="1" type="button" dataOnly="0" labelOnly="1" outline="0" axis="axisRow" fieldPosition="0"/>
    </format>
    <format dxfId="59">
      <pivotArea type="topRight" dataOnly="0" labelOnly="1" outline="0" fieldPosition="0"/>
    </format>
  </formats>
  <chartFormats count="7">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1" count="1" selected="0">
            <x v="0"/>
          </reference>
        </references>
      </pivotArea>
    </chartFormat>
    <chartFormat chart="41" format="10">
      <pivotArea type="data" outline="0" fieldPosition="0">
        <references count="2">
          <reference field="4294967294" count="1" selected="0">
            <x v="0"/>
          </reference>
          <reference field="1" count="1" selected="0">
            <x v="1"/>
          </reference>
        </references>
      </pivotArea>
    </chartFormat>
    <chartFormat chart="46" format="0" series="1">
      <pivotArea type="data" outline="0" fieldPosition="0">
        <references count="1">
          <reference field="4294967294" count="1" selected="0">
            <x v="0"/>
          </reference>
        </references>
      </pivotArea>
    </chartFormat>
    <chartFormat chart="50" format="7" series="1">
      <pivotArea type="data" outline="0" fieldPosition="0">
        <references count="1">
          <reference field="4294967294" count="1" selected="0">
            <x v="0"/>
          </reference>
        </references>
      </pivotArea>
    </chartFormat>
    <chartFormat chart="50" format="8">
      <pivotArea type="data" outline="0" fieldPosition="0">
        <references count="2">
          <reference field="4294967294" count="1" selected="0">
            <x v="0"/>
          </reference>
          <reference field="1" count="1" selected="0">
            <x v="0"/>
          </reference>
        </references>
      </pivotArea>
    </chartFormat>
    <chartFormat chart="50" format="9">
      <pivotArea type="data" outline="0" fieldPosition="0">
        <references count="2">
          <reference field="4294967294" count="1" selected="0">
            <x v="0"/>
          </reference>
          <reference field="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DDA7D9-C68D-44FB-9330-DBE02AD5510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B5:D19" firstHeaderRow="1" firstDataRow="2"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Col" showAll="0">
      <items count="3">
        <item x="0"/>
        <item h="1" x="1"/>
        <item t="default"/>
      </items>
    </pivotField>
    <pivotField showAll="0">
      <items count="4">
        <item x="2"/>
        <item x="0"/>
        <item x="1"/>
        <item t="default"/>
      </items>
    </pivotField>
    <pivotField showAll="0"/>
    <pivotField showAll="0"/>
    <pivotField numFmtId="1" showAll="0"/>
    <pivotField numFmtId="1" showAll="0"/>
    <pivotField numFmtId="1" showAll="0"/>
    <pivotField showAll="0"/>
    <pivotField showAll="0"/>
    <pivotField dataField="1" numFmtId="164" showAll="0">
      <items count="53">
        <item x="3"/>
        <item x="1"/>
        <item x="5"/>
        <item x="6"/>
        <item x="7"/>
        <item x="2"/>
        <item x="13"/>
        <item x="4"/>
        <item x="8"/>
        <item x="15"/>
        <item x="9"/>
        <item x="16"/>
        <item x="11"/>
        <item x="0"/>
        <item x="14"/>
        <item x="17"/>
        <item x="10"/>
        <item x="30"/>
        <item x="22"/>
        <item x="31"/>
        <item x="32"/>
        <item x="34"/>
        <item x="46"/>
        <item x="24"/>
        <item x="45"/>
        <item x="48"/>
        <item x="47"/>
        <item x="33"/>
        <item x="23"/>
        <item x="36"/>
        <item x="26"/>
        <item x="25"/>
        <item x="43"/>
        <item x="42"/>
        <item x="18"/>
        <item x="49"/>
        <item x="29"/>
        <item x="44"/>
        <item x="37"/>
        <item x="39"/>
        <item x="38"/>
        <item x="20"/>
        <item x="40"/>
        <item x="35"/>
        <item x="19"/>
        <item x="50"/>
        <item x="51"/>
        <item x="21"/>
        <item x="28"/>
        <item x="41"/>
        <item x="27"/>
        <item x="12"/>
        <item t="default"/>
      </items>
    </pivotField>
    <pivotField axis="axisRow" showAll="0" sortType="ascending">
      <items count="13">
        <item x="0"/>
        <item x="1"/>
        <item x="2"/>
        <item x="3"/>
        <item x="4"/>
        <item x="5"/>
        <item x="6"/>
        <item x="7"/>
        <item x="8"/>
        <item x="9"/>
        <item x="10"/>
        <item x="11"/>
        <item t="default"/>
      </items>
    </pivotField>
    <pivotField numFmtId="1" showAll="0"/>
  </pivotFields>
  <rowFields count="1">
    <field x="11"/>
  </rowFields>
  <rowItems count="13">
    <i>
      <x/>
    </i>
    <i>
      <x v="1"/>
    </i>
    <i>
      <x v="2"/>
    </i>
    <i>
      <x v="3"/>
    </i>
    <i>
      <x v="4"/>
    </i>
    <i>
      <x v="5"/>
    </i>
    <i>
      <x v="6"/>
    </i>
    <i>
      <x v="7"/>
    </i>
    <i>
      <x v="8"/>
    </i>
    <i>
      <x v="9"/>
    </i>
    <i>
      <x v="10"/>
    </i>
    <i>
      <x v="11"/>
    </i>
    <i t="grand">
      <x/>
    </i>
  </rowItems>
  <colFields count="1">
    <field x="1"/>
  </colFields>
  <colItems count="2">
    <i>
      <x/>
    </i>
    <i t="grand">
      <x/>
    </i>
  </colItems>
  <dataFields count="1">
    <dataField name="Max of Engagment rate %" fld="10" subtotal="max" baseField="11" baseItem="9" numFmtId="164"/>
  </dataFields>
  <formats count="9">
    <format dxfId="73">
      <pivotArea outline="0" collapsedLevelsAreSubtotals="1" fieldPosition="0"/>
    </format>
    <format dxfId="72">
      <pivotArea field="11" type="button" dataOnly="0" labelOnly="1" outline="0" axis="axisRow" fieldPosition="0"/>
    </format>
    <format dxfId="71">
      <pivotArea dataOnly="0" labelOnly="1" fieldPosition="0">
        <references count="1">
          <reference field="11" count="0"/>
        </references>
      </pivotArea>
    </format>
    <format dxfId="70">
      <pivotArea dataOnly="0" labelOnly="1" fieldPosition="0">
        <references count="1">
          <reference field="1" count="0"/>
        </references>
      </pivotArea>
    </format>
    <format dxfId="69">
      <pivotArea dataOnly="0" labelOnly="1" grandCol="1" outline="0" fieldPosition="0"/>
    </format>
    <format dxfId="68">
      <pivotArea dataOnly="0" labelOnly="1" grandRow="1" outline="0" fieldPosition="0"/>
    </format>
    <format dxfId="67">
      <pivotArea type="origin" dataOnly="0" labelOnly="1" outline="0" fieldPosition="0"/>
    </format>
    <format dxfId="66">
      <pivotArea field="1" type="button" dataOnly="0" labelOnly="1" outline="0" axis="axisCol" fieldPosition="0"/>
    </format>
    <format dxfId="65">
      <pivotArea type="topRight" dataOnly="0" labelOnly="1" outline="0" fieldPosition="0"/>
    </format>
  </formats>
  <chartFormats count="14">
    <chartFormat chart="20" format="6"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1"/>
          </reference>
        </references>
      </pivotArea>
    </chartFormat>
    <chartFormat chart="26" format="0" series="1">
      <pivotArea type="data" outline="0" fieldPosition="0">
        <references count="2">
          <reference field="4294967294" count="1" selected="0">
            <x v="0"/>
          </reference>
          <reference field="1" count="1" selected="0">
            <x v="0"/>
          </reference>
        </references>
      </pivotArea>
    </chartFormat>
    <chartFormat chart="26"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8" format="6" series="1">
      <pivotArea type="data" outline="0" fieldPosition="0">
        <references count="2">
          <reference field="4294967294" count="1" selected="0">
            <x v="0"/>
          </reference>
          <reference field="1" count="1" selected="0">
            <x v="0"/>
          </reference>
        </references>
      </pivotArea>
    </chartFormat>
    <chartFormat chart="28" format="7" series="1">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2">
          <reference field="4294967294" count="1" selected="0">
            <x v="0"/>
          </reference>
          <reference field="1" count="1" selected="0">
            <x v="0"/>
          </reference>
        </references>
      </pivotArea>
    </chartFormat>
    <chartFormat chart="29" format="5" series="1">
      <pivotArea type="data" outline="0" fieldPosition="0">
        <references count="2">
          <reference field="4294967294" count="1" selected="0">
            <x v="0"/>
          </reference>
          <reference field="1" count="1" selected="0">
            <x v="1"/>
          </reference>
        </references>
      </pivotArea>
    </chartFormat>
    <chartFormat chart="33" format="0" series="1">
      <pivotArea type="data" outline="0" fieldPosition="0">
        <references count="2">
          <reference field="4294967294" count="1" selected="0">
            <x v="0"/>
          </reference>
          <reference field="1" count="1" selected="0">
            <x v="0"/>
          </reference>
        </references>
      </pivotArea>
    </chartFormat>
    <chartFormat chart="33" format="1" series="1">
      <pivotArea type="data" outline="0" fieldPosition="0">
        <references count="2">
          <reference field="4294967294" count="1" selected="0">
            <x v="0"/>
          </reference>
          <reference field="1" count="1" selected="0">
            <x v="1"/>
          </reference>
        </references>
      </pivotArea>
    </chartFormat>
    <chartFormat chart="37" format="12" series="1">
      <pivotArea type="data" outline="0" fieldPosition="0">
        <references count="2">
          <reference field="4294967294" count="1" selected="0">
            <x v="0"/>
          </reference>
          <reference field="1" count="1" selected="0">
            <x v="0"/>
          </reference>
        </references>
      </pivotArea>
    </chartFormat>
    <chartFormat chart="37" format="13" series="1">
      <pivotArea type="data" outline="0" fieldPosition="0">
        <references count="2">
          <reference field="4294967294" count="1" selected="0">
            <x v="0"/>
          </reference>
          <reference field="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7BBBBC7-8A48-4EAC-85BD-CB0E7C25E648}" sourceName="Platform">
  <pivotTables>
    <pivotTable tabId="3" name="PivotTable1"/>
    <pivotTable tabId="3" name="PivotTable2"/>
    <pivotTable tabId="3" name="PivotTable3"/>
  </pivotTables>
  <data>
    <tabular pivotCacheId="8168408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5ABF302F-B556-418F-B6CB-139CD8430E1D}" sourceName="Content Type">
  <pivotTables>
    <pivotTable tabId="3" name="PivotTable1"/>
    <pivotTable tabId="3" name="PivotTable2"/>
    <pivotTable tabId="3" name="PivotTable3"/>
  </pivotTables>
  <data>
    <tabular pivotCacheId="8168408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59F6B09-C214-4DDF-B483-9BA17A5D3AFE}" sourceName="Months">
  <pivotTables>
    <pivotTable tabId="3" name="PivotTable1"/>
    <pivotTable tabId="3" name="PivotTable2"/>
    <pivotTable tabId="3" name="PivotTable3"/>
  </pivotTables>
  <data>
    <tabular pivotCacheId="8168408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4AAEF005-7820-4402-9A8D-F27B10C79CD8}" cache="Slicer_Platform" caption="Platform" style="SlicerStyleDark3" rowHeight="257175"/>
  <slicer name="Content Type 1" xr10:uid="{44AEB366-BBE8-4AA0-B3B0-ED3150ECD5DC}" cache="Slicer_Content_Type" caption="Content Type" style="SlicerStyleDark3" rowHeight="257175"/>
  <slicer name="Months 1" xr10:uid="{462549B9-4E9F-4CC0-834D-F080BBB09897}" cache="Slicer_Months" caption="Months" startItem="3"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DB53C6-2765-4570-9099-7F5F1E140A97}" name="Table1" displayName="Table1" ref="A1:M53" totalsRowShown="0" headerRowDxfId="87">
  <autoFilter ref="A1:M53" xr:uid="{BFDB53C6-2765-4570-9099-7F5F1E140A97}"/>
  <tableColumns count="13">
    <tableColumn id="1" xr3:uid="{78EC9119-CA09-4EC7-99DE-823C26D5FCB4}" name="Date" dataDxfId="86"/>
    <tableColumn id="2" xr3:uid="{749D2556-BD97-4547-90B9-FC1BD88F9153}" name="Platform" dataDxfId="85"/>
    <tableColumn id="3" xr3:uid="{2A6E73F7-B406-484D-8213-CD5E6F9B44D6}" name="Content Type" dataDxfId="84"/>
    <tableColumn id="4" xr3:uid="{3D47EB1C-7E4A-42D7-918F-297BCB98EBCB}" name="Caption/Hashtags" dataDxfId="83"/>
    <tableColumn id="5" xr3:uid="{E33F6FCB-D10C-4BBA-B9BE-2D41A3C087E6}" name="Engagement Type" dataDxfId="82"/>
    <tableColumn id="6" xr3:uid="{14FF0EDA-8D7B-4EE1-A921-2A66DEE2EAA5}" name="Views" dataDxfId="81"/>
    <tableColumn id="7" xr3:uid="{0A561B23-2F14-4EC4-9284-DB2D3AABF9B4}" name="Likes" dataDxfId="80"/>
    <tableColumn id="8" xr3:uid="{5350B567-C1E3-4D45-B87F-92468C3E30E4}" name="Comments" dataDxfId="79"/>
    <tableColumn id="9" xr3:uid="{48CC774E-8561-4A8E-919F-AC4F3B1DDCFC}" name="Shares " dataDxfId="78"/>
    <tableColumn id="10" xr3:uid="{7F63288F-5C96-455D-9E64-1AA7AC22D6BA}" name="Saves" dataDxfId="77"/>
    <tableColumn id="11" xr3:uid="{AF006FD2-629A-4FD3-B9CF-8B19C12F37B3}" name="Engagment rate %" dataDxfId="76">
      <calculatedColumnFormula>IF(OR(F2=0, ISBLANK(F2)), "", (G2+H2+IF(ISNUMBER(I2), I2, 0)+IF(ISNUMBER(J2), J2, 0))/F2)</calculatedColumnFormula>
    </tableColumn>
    <tableColumn id="12" xr3:uid="{6D0029FB-18FA-4AC9-8497-8A1C06DD7E61}" name="Months" dataDxfId="75">
      <calculatedColumnFormula>TEXT(A2, "mmmm")</calculatedColumnFormula>
    </tableColumn>
    <tableColumn id="13" xr3:uid="{0A463996-03F6-41C6-B974-9DF42AE93E92}" name="Total Engagment" dataDxfId="74">
      <calculatedColumnFormula>G2 + H2 + IF(ISNUMBER(I2), I2, 0) + IF(ISNUMBER(J2), J2, 0) + IF(ISNUMBER(K2), K2, 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71717"/>
      </a:dk2>
      <a:lt2>
        <a:srgbClr val="E8E8E8"/>
      </a:lt2>
      <a:accent1>
        <a:srgbClr val="78206E"/>
      </a:accent1>
      <a:accent2>
        <a:srgbClr val="70485D"/>
      </a:accent2>
      <a:accent3>
        <a:srgbClr val="C19EB1"/>
      </a:accent3>
      <a:accent4>
        <a:srgbClr val="D76DCC"/>
      </a:accent4>
      <a:accent5>
        <a:srgbClr val="A02B93"/>
      </a:accent5>
      <a:accent6>
        <a:srgbClr val="E49EDD"/>
      </a:accent6>
      <a:hlink>
        <a:srgbClr val="D5BECB"/>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C3BE87-9D23-4A5C-9AE1-3B4217D734DE}" sourceName="Date">
  <pivotTables>
    <pivotTable tabId="3" name="PivotTable1"/>
    <pivotTable tabId="3" name="PivotTable2"/>
    <pivotTable tabId="3" name="PivotTable3"/>
  </pivotTables>
  <state minimalRefreshVersion="6" lastRefreshVersion="6" pivotCacheId="8168408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EDE9E7D-DDD0-4A28-AD1F-149976133D16}" cache="NativeTimeline_Date" caption="Date"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6D20-7DCD-4CEA-91C6-CDB76ACAFB91}">
  <dimension ref="A1"/>
  <sheetViews>
    <sheetView topLeftCell="B48" zoomScaleNormal="100" workbookViewId="0">
      <selection activeCell="Y63" sqref="Y63"/>
    </sheetView>
  </sheetViews>
  <sheetFormatPr defaultColWidth="9.109375" defaultRowHeight="14.4" x14ac:dyDescent="0.3"/>
  <cols>
    <col min="1" max="16384" width="9.1093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9546-869B-4EDE-AD99-475D6DCAF526}">
  <dimension ref="A1:M53"/>
  <sheetViews>
    <sheetView showGridLines="0" workbookViewId="0">
      <selection activeCell="E2" sqref="E2"/>
    </sheetView>
  </sheetViews>
  <sheetFormatPr defaultRowHeight="14.4" x14ac:dyDescent="0.3"/>
  <cols>
    <col min="1" max="1" width="10.44140625" bestFit="1" customWidth="1"/>
    <col min="2" max="2" width="13.33203125" bestFit="1" customWidth="1"/>
    <col min="3" max="3" width="17.88671875" bestFit="1" customWidth="1"/>
    <col min="4" max="4" width="22" bestFit="1" customWidth="1"/>
    <col min="5" max="5" width="21.5546875" bestFit="1" customWidth="1"/>
    <col min="6" max="6" width="10.88671875" bestFit="1" customWidth="1"/>
    <col min="7" max="7" width="10.33203125" bestFit="1" customWidth="1"/>
    <col min="8" max="8" width="15.5546875" bestFit="1" customWidth="1"/>
    <col min="9" max="9" width="12.109375" bestFit="1" customWidth="1"/>
    <col min="10" max="10" width="10.88671875" bestFit="1" customWidth="1"/>
    <col min="11" max="11" width="21.88671875" bestFit="1" customWidth="1"/>
    <col min="12" max="12" width="12.33203125" bestFit="1" customWidth="1"/>
    <col min="13" max="13" width="20.5546875" bestFit="1" customWidth="1"/>
  </cols>
  <sheetData>
    <row r="1" spans="1:13" x14ac:dyDescent="0.3">
      <c r="A1" s="2" t="s">
        <v>0</v>
      </c>
      <c r="B1" s="3" t="s">
        <v>1</v>
      </c>
      <c r="C1" s="3" t="s">
        <v>2</v>
      </c>
      <c r="D1" s="3" t="s">
        <v>3</v>
      </c>
      <c r="E1" s="3" t="s">
        <v>4</v>
      </c>
      <c r="F1" s="4" t="s">
        <v>5</v>
      </c>
      <c r="G1" s="4" t="s">
        <v>6</v>
      </c>
      <c r="H1" s="4" t="s">
        <v>7</v>
      </c>
      <c r="I1" s="4" t="s">
        <v>8</v>
      </c>
      <c r="J1" s="4" t="s">
        <v>9</v>
      </c>
      <c r="K1" s="5" t="s">
        <v>10</v>
      </c>
      <c r="L1" s="3" t="s">
        <v>11</v>
      </c>
      <c r="M1" s="3" t="s">
        <v>12</v>
      </c>
    </row>
    <row r="2" spans="1:13" ht="43.2" x14ac:dyDescent="0.3">
      <c r="A2" s="6">
        <v>45296</v>
      </c>
      <c r="B2" s="7" t="s">
        <v>13</v>
      </c>
      <c r="C2" s="8" t="s">
        <v>14</v>
      </c>
      <c r="D2" s="9" t="s">
        <v>15</v>
      </c>
      <c r="E2" s="8" t="s">
        <v>16</v>
      </c>
      <c r="F2" s="10">
        <v>2450</v>
      </c>
      <c r="G2" s="10">
        <v>207</v>
      </c>
      <c r="H2" s="10">
        <v>15</v>
      </c>
      <c r="I2" s="10">
        <v>10</v>
      </c>
      <c r="J2" s="10">
        <v>13</v>
      </c>
      <c r="K2" s="11">
        <f>IF(OR(F2=0, ISBLANK(F2)), "", (G2+H2+IF(ISNUMBER(I2), I2, 0)+IF(ISNUMBER(J2), J2, 0))/F2)</f>
        <v>0.1</v>
      </c>
      <c r="L2" s="12" t="str">
        <f>TEXT(A2, "mmmm")</f>
        <v>January</v>
      </c>
      <c r="M2" s="10">
        <f>G2 + H2 + IF(ISNUMBER(I2), I2, 0) + IF(ISNUMBER(J2), J2, 0) + IF(ISNUMBER(K2), K2, 0)</f>
        <v>245.1</v>
      </c>
    </row>
    <row r="3" spans="1:13" ht="43.2" x14ac:dyDescent="0.3">
      <c r="A3" s="6">
        <v>45303</v>
      </c>
      <c r="B3" s="7" t="s">
        <v>17</v>
      </c>
      <c r="C3" s="8" t="s">
        <v>18</v>
      </c>
      <c r="D3" s="9" t="s">
        <v>19</v>
      </c>
      <c r="E3" s="8" t="s">
        <v>20</v>
      </c>
      <c r="F3" s="10">
        <v>15258</v>
      </c>
      <c r="G3" s="10">
        <v>147</v>
      </c>
      <c r="H3" s="10">
        <v>3</v>
      </c>
      <c r="I3" s="10">
        <v>12</v>
      </c>
      <c r="J3" s="10">
        <v>6</v>
      </c>
      <c r="K3" s="11">
        <f t="shared" ref="K3:K53" si="0">IF(OR(F3=0, ISBLANK(F3)), "", (G3+H3+IF(ISNUMBER(I3), I3, 0)+IF(ISNUMBER(J3), J3, 0))/F3)</f>
        <v>1.1010617381046009E-2</v>
      </c>
      <c r="L3" s="12" t="str">
        <f t="shared" ref="L3:L53" si="1">TEXT(A3, "mmmm")</f>
        <v>January</v>
      </c>
      <c r="M3" s="12">
        <f t="shared" ref="M3:M53" si="2">G3 + H3 + IF(ISNUMBER(I3), I3, 0) + IF(ISNUMBER(J3), J3, 0) + IF(ISNUMBER(K3), K3, 0)</f>
        <v>168.01101061738103</v>
      </c>
    </row>
    <row r="4" spans="1:13" ht="43.2" x14ac:dyDescent="0.3">
      <c r="A4" s="13">
        <v>45310</v>
      </c>
      <c r="B4" s="14" t="s">
        <v>13</v>
      </c>
      <c r="C4" s="9" t="s">
        <v>21</v>
      </c>
      <c r="D4" s="9" t="s">
        <v>22</v>
      </c>
      <c r="E4" s="9" t="s">
        <v>16</v>
      </c>
      <c r="F4" s="12">
        <v>8000</v>
      </c>
      <c r="G4" s="12">
        <v>376</v>
      </c>
      <c r="H4" s="12">
        <v>25</v>
      </c>
      <c r="I4" s="12">
        <v>17</v>
      </c>
      <c r="J4" s="12">
        <v>40</v>
      </c>
      <c r="K4" s="11">
        <f t="shared" si="0"/>
        <v>5.7250000000000002E-2</v>
      </c>
      <c r="L4" s="12" t="str">
        <f t="shared" si="1"/>
        <v>January</v>
      </c>
      <c r="M4" s="12">
        <f t="shared" si="2"/>
        <v>458.05725000000001</v>
      </c>
    </row>
    <row r="5" spans="1:13" ht="43.2" x14ac:dyDescent="0.3">
      <c r="A5" s="13">
        <v>45317</v>
      </c>
      <c r="B5" s="14" t="s">
        <v>17</v>
      </c>
      <c r="C5" s="9" t="s">
        <v>14</v>
      </c>
      <c r="D5" s="9" t="s">
        <v>23</v>
      </c>
      <c r="E5" s="9" t="s">
        <v>20</v>
      </c>
      <c r="F5" s="12">
        <v>902768</v>
      </c>
      <c r="G5" s="12">
        <v>7503</v>
      </c>
      <c r="H5" s="12">
        <v>258</v>
      </c>
      <c r="I5" s="12">
        <v>248</v>
      </c>
      <c r="J5" s="12">
        <v>327</v>
      </c>
      <c r="K5" s="11">
        <f t="shared" si="0"/>
        <v>9.2338230863300425E-3</v>
      </c>
      <c r="L5" s="12" t="str">
        <f t="shared" si="1"/>
        <v>January</v>
      </c>
      <c r="M5" s="12">
        <f t="shared" si="2"/>
        <v>8336.0092338230861</v>
      </c>
    </row>
    <row r="6" spans="1:13" ht="57.6" x14ac:dyDescent="0.3">
      <c r="A6" s="13">
        <v>45324</v>
      </c>
      <c r="B6" s="14" t="s">
        <v>13</v>
      </c>
      <c r="C6" s="9" t="s">
        <v>18</v>
      </c>
      <c r="D6" s="9" t="s">
        <v>24</v>
      </c>
      <c r="E6" s="9" t="s">
        <v>16</v>
      </c>
      <c r="F6" s="12">
        <v>15000</v>
      </c>
      <c r="G6" s="12">
        <v>748</v>
      </c>
      <c r="H6" s="12">
        <v>80</v>
      </c>
      <c r="I6" s="12">
        <v>37</v>
      </c>
      <c r="J6" s="12">
        <v>58</v>
      </c>
      <c r="K6" s="11">
        <f t="shared" si="0"/>
        <v>6.1533333333333336E-2</v>
      </c>
      <c r="L6" s="12" t="str">
        <f t="shared" si="1"/>
        <v>February</v>
      </c>
      <c r="M6" s="12">
        <f t="shared" si="2"/>
        <v>923.06153333333339</v>
      </c>
    </row>
    <row r="7" spans="1:13" ht="43.2" x14ac:dyDescent="0.3">
      <c r="A7" s="13">
        <v>45331</v>
      </c>
      <c r="B7" s="14" t="s">
        <v>17</v>
      </c>
      <c r="C7" s="9" t="s">
        <v>21</v>
      </c>
      <c r="D7" s="9" t="s">
        <v>25</v>
      </c>
      <c r="E7" s="9" t="s">
        <v>26</v>
      </c>
      <c r="F7" s="12">
        <v>1268</v>
      </c>
      <c r="G7" s="12">
        <v>20</v>
      </c>
      <c r="H7" s="12">
        <v>5</v>
      </c>
      <c r="I7" s="12" t="s">
        <v>27</v>
      </c>
      <c r="J7" s="12" t="s">
        <v>27</v>
      </c>
      <c r="K7" s="11">
        <f t="shared" si="0"/>
        <v>1.9716088328075709E-2</v>
      </c>
      <c r="L7" s="12" t="str">
        <f t="shared" si="1"/>
        <v>February</v>
      </c>
      <c r="M7" s="12">
        <f t="shared" si="2"/>
        <v>25.019716088328074</v>
      </c>
    </row>
    <row r="8" spans="1:13" ht="43.2" x14ac:dyDescent="0.3">
      <c r="A8" s="13">
        <v>45338</v>
      </c>
      <c r="B8" s="14" t="s">
        <v>13</v>
      </c>
      <c r="C8" s="9" t="s">
        <v>14</v>
      </c>
      <c r="D8" s="9" t="s">
        <v>28</v>
      </c>
      <c r="E8" s="9" t="s">
        <v>16</v>
      </c>
      <c r="F8" s="12">
        <v>10090</v>
      </c>
      <c r="G8" s="12">
        <v>400</v>
      </c>
      <c r="H8" s="12">
        <v>47</v>
      </c>
      <c r="I8" s="12">
        <v>14</v>
      </c>
      <c r="J8" s="12">
        <v>21</v>
      </c>
      <c r="K8" s="11">
        <f t="shared" si="0"/>
        <v>4.7770069375619423E-2</v>
      </c>
      <c r="L8" s="12" t="str">
        <f t="shared" si="1"/>
        <v>February</v>
      </c>
      <c r="M8" s="12">
        <f t="shared" si="2"/>
        <v>482.04777006937564</v>
      </c>
    </row>
    <row r="9" spans="1:13" ht="57.6" x14ac:dyDescent="0.3">
      <c r="A9" s="13">
        <v>45345</v>
      </c>
      <c r="B9" s="14" t="s">
        <v>17</v>
      </c>
      <c r="C9" s="9" t="s">
        <v>18</v>
      </c>
      <c r="D9" s="9" t="s">
        <v>29</v>
      </c>
      <c r="E9" s="9" t="s">
        <v>20</v>
      </c>
      <c r="F9" s="12">
        <v>2300067</v>
      </c>
      <c r="G9" s="12">
        <v>102762</v>
      </c>
      <c r="H9" s="12">
        <v>800</v>
      </c>
      <c r="I9" s="12">
        <v>1200</v>
      </c>
      <c r="J9" s="12">
        <v>8079</v>
      </c>
      <c r="K9" s="11">
        <f t="shared" si="0"/>
        <v>4.9059875212330774E-2</v>
      </c>
      <c r="L9" s="12" t="str">
        <f t="shared" si="1"/>
        <v>February</v>
      </c>
      <c r="M9" s="12">
        <f t="shared" si="2"/>
        <v>112841.04905987521</v>
      </c>
    </row>
    <row r="10" spans="1:13" ht="43.2" x14ac:dyDescent="0.3">
      <c r="A10" s="13">
        <v>45352</v>
      </c>
      <c r="B10" s="14" t="s">
        <v>13</v>
      </c>
      <c r="C10" s="9" t="s">
        <v>21</v>
      </c>
      <c r="D10" s="9" t="s">
        <v>30</v>
      </c>
      <c r="E10" s="9" t="s">
        <v>16</v>
      </c>
      <c r="F10" s="12">
        <v>12567</v>
      </c>
      <c r="G10" s="12">
        <v>722</v>
      </c>
      <c r="H10" s="12">
        <v>60</v>
      </c>
      <c r="I10" s="12">
        <v>37</v>
      </c>
      <c r="J10" s="12">
        <v>40</v>
      </c>
      <c r="K10" s="11">
        <f t="shared" si="0"/>
        <v>6.8353624572292507E-2</v>
      </c>
      <c r="L10" s="12" t="str">
        <f t="shared" si="1"/>
        <v>March</v>
      </c>
      <c r="M10" s="12">
        <f t="shared" si="2"/>
        <v>859.0683536245723</v>
      </c>
    </row>
    <row r="11" spans="1:13" ht="43.2" x14ac:dyDescent="0.3">
      <c r="A11" s="13">
        <v>45359</v>
      </c>
      <c r="B11" s="14" t="s">
        <v>17</v>
      </c>
      <c r="C11" s="9" t="s">
        <v>14</v>
      </c>
      <c r="D11" s="9" t="s">
        <v>31</v>
      </c>
      <c r="E11" s="9" t="s">
        <v>20</v>
      </c>
      <c r="F11" s="12">
        <v>110079</v>
      </c>
      <c r="G11" s="12">
        <v>8067</v>
      </c>
      <c r="H11" s="12">
        <v>500</v>
      </c>
      <c r="I11" s="12">
        <v>208</v>
      </c>
      <c r="J11" s="12">
        <v>137</v>
      </c>
      <c r="K11" s="11">
        <f t="shared" si="0"/>
        <v>8.0960037791040981E-2</v>
      </c>
      <c r="L11" s="12" t="str">
        <f t="shared" si="1"/>
        <v>March</v>
      </c>
      <c r="M11" s="12">
        <f t="shared" si="2"/>
        <v>8912.0809600377906</v>
      </c>
    </row>
    <row r="12" spans="1:13" ht="57.6" x14ac:dyDescent="0.3">
      <c r="A12" s="13">
        <v>45366</v>
      </c>
      <c r="B12" s="14" t="s">
        <v>13</v>
      </c>
      <c r="C12" s="9" t="s">
        <v>18</v>
      </c>
      <c r="D12" s="9" t="s">
        <v>32</v>
      </c>
      <c r="E12" s="9" t="s">
        <v>16</v>
      </c>
      <c r="F12" s="12">
        <v>9000</v>
      </c>
      <c r="G12" s="12">
        <v>712</v>
      </c>
      <c r="H12" s="12">
        <v>54</v>
      </c>
      <c r="I12" s="12">
        <v>61</v>
      </c>
      <c r="J12" s="12">
        <v>150</v>
      </c>
      <c r="K12" s="11">
        <f t="shared" si="0"/>
        <v>0.10855555555555556</v>
      </c>
      <c r="L12" s="12" t="str">
        <f t="shared" si="1"/>
        <v>March</v>
      </c>
      <c r="M12" s="12">
        <f t="shared" si="2"/>
        <v>977.10855555555554</v>
      </c>
    </row>
    <row r="13" spans="1:13" ht="43.2" x14ac:dyDescent="0.3">
      <c r="A13" s="13">
        <v>45373</v>
      </c>
      <c r="B13" s="14" t="s">
        <v>17</v>
      </c>
      <c r="C13" s="9" t="s">
        <v>21</v>
      </c>
      <c r="D13" s="9" t="s">
        <v>33</v>
      </c>
      <c r="E13" s="9" t="s">
        <v>20</v>
      </c>
      <c r="F13" s="12">
        <v>624884</v>
      </c>
      <c r="G13" s="12">
        <v>54568</v>
      </c>
      <c r="H13" s="12">
        <v>458</v>
      </c>
      <c r="I13" s="12">
        <v>400</v>
      </c>
      <c r="J13" s="12">
        <v>673</v>
      </c>
      <c r="K13" s="11">
        <f t="shared" si="0"/>
        <v>8.9775062251553892E-2</v>
      </c>
      <c r="L13" s="12" t="str">
        <f t="shared" si="1"/>
        <v>March</v>
      </c>
      <c r="M13" s="12">
        <f t="shared" si="2"/>
        <v>56099.089775062253</v>
      </c>
    </row>
    <row r="14" spans="1:13" ht="43.2" x14ac:dyDescent="0.3">
      <c r="A14" s="13">
        <v>45380</v>
      </c>
      <c r="B14" s="14" t="s">
        <v>13</v>
      </c>
      <c r="C14" s="9" t="s">
        <v>14</v>
      </c>
      <c r="D14" s="9" t="s">
        <v>34</v>
      </c>
      <c r="E14" s="9" t="s">
        <v>16</v>
      </c>
      <c r="F14" s="12">
        <v>2500</v>
      </c>
      <c r="G14" s="12">
        <v>400</v>
      </c>
      <c r="H14" s="12">
        <v>20</v>
      </c>
      <c r="I14" s="12">
        <v>15</v>
      </c>
      <c r="J14" s="12">
        <v>40</v>
      </c>
      <c r="K14" s="11">
        <f t="shared" si="0"/>
        <v>0.19</v>
      </c>
      <c r="L14" s="12" t="str">
        <f t="shared" si="1"/>
        <v>March</v>
      </c>
      <c r="M14" s="12">
        <f t="shared" si="2"/>
        <v>475.19</v>
      </c>
    </row>
    <row r="15" spans="1:13" ht="57.6" x14ac:dyDescent="0.3">
      <c r="A15" s="13">
        <v>45387</v>
      </c>
      <c r="B15" s="14" t="s">
        <v>17</v>
      </c>
      <c r="C15" s="9" t="s">
        <v>18</v>
      </c>
      <c r="D15" s="9" t="s">
        <v>35</v>
      </c>
      <c r="E15" s="9" t="s">
        <v>20</v>
      </c>
      <c r="F15" s="12">
        <v>1205265</v>
      </c>
      <c r="G15" s="12">
        <v>67890</v>
      </c>
      <c r="H15" s="12">
        <v>328</v>
      </c>
      <c r="I15" s="12">
        <v>466</v>
      </c>
      <c r="J15" s="12">
        <v>476</v>
      </c>
      <c r="K15" s="11">
        <f t="shared" si="0"/>
        <v>5.7381571687554186E-2</v>
      </c>
      <c r="L15" s="12" t="str">
        <f t="shared" si="1"/>
        <v>April</v>
      </c>
      <c r="M15" s="12">
        <f t="shared" si="2"/>
        <v>69160.057381571693</v>
      </c>
    </row>
    <row r="16" spans="1:13" ht="43.2" x14ac:dyDescent="0.3">
      <c r="A16" s="13">
        <v>45394</v>
      </c>
      <c r="B16" s="14" t="s">
        <v>13</v>
      </c>
      <c r="C16" s="9" t="s">
        <v>21</v>
      </c>
      <c r="D16" s="9" t="s">
        <v>36</v>
      </c>
      <c r="E16" s="9" t="s">
        <v>16</v>
      </c>
      <c r="F16" s="12">
        <v>25683</v>
      </c>
      <c r="G16" s="12">
        <v>2000</v>
      </c>
      <c r="H16" s="12">
        <v>120</v>
      </c>
      <c r="I16" s="12">
        <v>200</v>
      </c>
      <c r="J16" s="12">
        <v>268</v>
      </c>
      <c r="K16" s="11">
        <f t="shared" si="0"/>
        <v>0.10076704434840167</v>
      </c>
      <c r="L16" s="12" t="str">
        <f t="shared" si="1"/>
        <v>April</v>
      </c>
      <c r="M16" s="12">
        <f t="shared" si="2"/>
        <v>2588.1007670443482</v>
      </c>
    </row>
    <row r="17" spans="1:13" ht="43.2" x14ac:dyDescent="0.3">
      <c r="A17" s="13">
        <v>45401</v>
      </c>
      <c r="B17" s="14" t="s">
        <v>17</v>
      </c>
      <c r="C17" s="9" t="s">
        <v>14</v>
      </c>
      <c r="D17" s="9" t="s">
        <v>37</v>
      </c>
      <c r="E17" s="9" t="s">
        <v>20</v>
      </c>
      <c r="F17" s="12">
        <v>1570320</v>
      </c>
      <c r="G17" s="12">
        <v>112636</v>
      </c>
      <c r="H17" s="12">
        <v>600</v>
      </c>
      <c r="I17" s="12">
        <v>570</v>
      </c>
      <c r="J17" s="12">
        <v>1028</v>
      </c>
      <c r="K17" s="11">
        <f t="shared" si="0"/>
        <v>7.3127770136023229E-2</v>
      </c>
      <c r="L17" s="12" t="str">
        <f t="shared" si="1"/>
        <v>April</v>
      </c>
      <c r="M17" s="12">
        <f t="shared" si="2"/>
        <v>114834.07312777014</v>
      </c>
    </row>
    <row r="18" spans="1:13" ht="43.2" x14ac:dyDescent="0.3">
      <c r="A18" s="13">
        <v>45408</v>
      </c>
      <c r="B18" s="14" t="s">
        <v>13</v>
      </c>
      <c r="C18" s="9" t="s">
        <v>18</v>
      </c>
      <c r="D18" s="9" t="s">
        <v>38</v>
      </c>
      <c r="E18" s="9" t="s">
        <v>26</v>
      </c>
      <c r="F18" s="12">
        <v>1670221</v>
      </c>
      <c r="G18" s="12">
        <v>137462</v>
      </c>
      <c r="H18" s="12">
        <v>274</v>
      </c>
      <c r="I18" s="12" t="s">
        <v>27</v>
      </c>
      <c r="J18" s="12" t="s">
        <v>27</v>
      </c>
      <c r="K18" s="11">
        <f t="shared" si="0"/>
        <v>8.2465733576574593E-2</v>
      </c>
      <c r="L18" s="12" t="str">
        <f t="shared" si="1"/>
        <v>April</v>
      </c>
      <c r="M18" s="12">
        <f t="shared" si="2"/>
        <v>137736.08246573358</v>
      </c>
    </row>
    <row r="19" spans="1:13" ht="28.8" x14ac:dyDescent="0.3">
      <c r="A19" s="13">
        <v>45415</v>
      </c>
      <c r="B19" s="14" t="s">
        <v>17</v>
      </c>
      <c r="C19" s="9" t="s">
        <v>21</v>
      </c>
      <c r="D19" s="9" t="s">
        <v>39</v>
      </c>
      <c r="E19" s="9" t="s">
        <v>20</v>
      </c>
      <c r="F19" s="12">
        <v>14909</v>
      </c>
      <c r="G19" s="12">
        <v>1006</v>
      </c>
      <c r="H19" s="12">
        <v>200</v>
      </c>
      <c r="I19" s="12">
        <v>60</v>
      </c>
      <c r="J19" s="12">
        <v>350</v>
      </c>
      <c r="K19" s="11">
        <f t="shared" si="0"/>
        <v>0.10839090482259038</v>
      </c>
      <c r="L19" s="12" t="str">
        <f t="shared" si="1"/>
        <v>May</v>
      </c>
      <c r="M19" s="12">
        <f t="shared" si="2"/>
        <v>1616.1083909048225</v>
      </c>
    </row>
    <row r="20" spans="1:13" ht="43.2" x14ac:dyDescent="0.3">
      <c r="A20" s="13">
        <v>45422</v>
      </c>
      <c r="B20" s="14" t="s">
        <v>13</v>
      </c>
      <c r="C20" s="9" t="s">
        <v>14</v>
      </c>
      <c r="D20" s="9" t="s">
        <v>40</v>
      </c>
      <c r="E20" s="9" t="s">
        <v>16</v>
      </c>
      <c r="F20" s="12">
        <v>136572</v>
      </c>
      <c r="G20" s="12">
        <v>20800</v>
      </c>
      <c r="H20" s="12">
        <v>60</v>
      </c>
      <c r="I20" s="12">
        <v>180</v>
      </c>
      <c r="J20" s="12">
        <v>130</v>
      </c>
      <c r="K20" s="11">
        <f t="shared" si="0"/>
        <v>0.15500981167442815</v>
      </c>
      <c r="L20" s="12" t="str">
        <f t="shared" si="1"/>
        <v>May</v>
      </c>
      <c r="M20" s="12">
        <f t="shared" si="2"/>
        <v>21170.155009811675</v>
      </c>
    </row>
    <row r="21" spans="1:13" ht="43.2" x14ac:dyDescent="0.3">
      <c r="A21" s="13">
        <v>45429</v>
      </c>
      <c r="B21" s="14" t="s">
        <v>17</v>
      </c>
      <c r="C21" s="9" t="s">
        <v>18</v>
      </c>
      <c r="D21" s="9" t="s">
        <v>41</v>
      </c>
      <c r="E21" s="9" t="s">
        <v>20</v>
      </c>
      <c r="F21" s="12">
        <v>145678</v>
      </c>
      <c r="G21" s="12">
        <v>22800</v>
      </c>
      <c r="H21" s="12">
        <v>120</v>
      </c>
      <c r="I21" s="12">
        <v>220</v>
      </c>
      <c r="J21" s="12">
        <v>160</v>
      </c>
      <c r="K21" s="11">
        <f t="shared" si="0"/>
        <v>0.15994178942599432</v>
      </c>
      <c r="L21" s="12" t="str">
        <f t="shared" si="1"/>
        <v>May</v>
      </c>
      <c r="M21" s="12">
        <f t="shared" si="2"/>
        <v>23300.159941789425</v>
      </c>
    </row>
    <row r="22" spans="1:13" ht="43.2" x14ac:dyDescent="0.3">
      <c r="A22" s="13">
        <v>45436</v>
      </c>
      <c r="B22" s="14" t="s">
        <v>13</v>
      </c>
      <c r="C22" s="9" t="s">
        <v>21</v>
      </c>
      <c r="D22" s="9" t="s">
        <v>42</v>
      </c>
      <c r="E22" s="9" t="s">
        <v>16</v>
      </c>
      <c r="F22" s="12">
        <v>134892</v>
      </c>
      <c r="G22" s="12">
        <v>21000</v>
      </c>
      <c r="H22" s="12">
        <v>100</v>
      </c>
      <c r="I22" s="12">
        <v>180</v>
      </c>
      <c r="J22" s="12">
        <v>140</v>
      </c>
      <c r="K22" s="11">
        <f t="shared" si="0"/>
        <v>0.15879370162796905</v>
      </c>
      <c r="L22" s="12" t="str">
        <f t="shared" si="1"/>
        <v>May</v>
      </c>
      <c r="M22" s="12">
        <f t="shared" si="2"/>
        <v>21420.158793701627</v>
      </c>
    </row>
    <row r="23" spans="1:13" ht="43.2" x14ac:dyDescent="0.3">
      <c r="A23" s="13">
        <v>45443</v>
      </c>
      <c r="B23" s="14" t="s">
        <v>17</v>
      </c>
      <c r="C23" s="9" t="s">
        <v>14</v>
      </c>
      <c r="D23" s="9" t="s">
        <v>43</v>
      </c>
      <c r="E23" s="9" t="s">
        <v>20</v>
      </c>
      <c r="F23" s="12">
        <v>156789</v>
      </c>
      <c r="G23" s="12">
        <v>25000</v>
      </c>
      <c r="H23" s="12">
        <v>140</v>
      </c>
      <c r="I23" s="12">
        <v>210</v>
      </c>
      <c r="J23" s="12">
        <v>170</v>
      </c>
      <c r="K23" s="11">
        <f t="shared" si="0"/>
        <v>0.16276652061050201</v>
      </c>
      <c r="L23" s="12" t="str">
        <f t="shared" si="1"/>
        <v>May</v>
      </c>
      <c r="M23" s="12">
        <f t="shared" si="2"/>
        <v>25520.162766520611</v>
      </c>
    </row>
    <row r="24" spans="1:13" ht="43.2" x14ac:dyDescent="0.3">
      <c r="A24" s="13">
        <v>45450</v>
      </c>
      <c r="B24" s="14" t="s">
        <v>13</v>
      </c>
      <c r="C24" s="9" t="s">
        <v>18</v>
      </c>
      <c r="D24" s="9" t="s">
        <v>44</v>
      </c>
      <c r="E24" s="9" t="s">
        <v>16</v>
      </c>
      <c r="F24" s="12">
        <v>112345</v>
      </c>
      <c r="G24" s="12">
        <v>15000</v>
      </c>
      <c r="H24" s="12">
        <v>60</v>
      </c>
      <c r="I24" s="12">
        <v>180</v>
      </c>
      <c r="J24" s="12">
        <v>130</v>
      </c>
      <c r="K24" s="11">
        <f t="shared" si="0"/>
        <v>0.13681071698784994</v>
      </c>
      <c r="L24" s="12" t="str">
        <f t="shared" si="1"/>
        <v>June</v>
      </c>
      <c r="M24" s="12">
        <f t="shared" si="2"/>
        <v>15370.136810716987</v>
      </c>
    </row>
    <row r="25" spans="1:13" ht="43.2" x14ac:dyDescent="0.3">
      <c r="A25" s="13">
        <v>45457</v>
      </c>
      <c r="B25" s="14" t="s">
        <v>17</v>
      </c>
      <c r="C25" s="9" t="s">
        <v>21</v>
      </c>
      <c r="D25" s="9" t="s">
        <v>45</v>
      </c>
      <c r="E25" s="9" t="s">
        <v>20</v>
      </c>
      <c r="F25" s="12">
        <v>134567</v>
      </c>
      <c r="G25" s="12">
        <v>19800</v>
      </c>
      <c r="H25" s="12">
        <v>110</v>
      </c>
      <c r="I25" s="12">
        <v>190</v>
      </c>
      <c r="J25" s="12">
        <v>160</v>
      </c>
      <c r="K25" s="11">
        <f t="shared" si="0"/>
        <v>0.15055697162008516</v>
      </c>
      <c r="L25" s="12" t="str">
        <f t="shared" si="1"/>
        <v>June</v>
      </c>
      <c r="M25" s="12">
        <f t="shared" si="2"/>
        <v>20260.150556971621</v>
      </c>
    </row>
    <row r="26" spans="1:13" ht="43.2" x14ac:dyDescent="0.3">
      <c r="A26" s="13">
        <v>45464</v>
      </c>
      <c r="B26" s="14" t="s">
        <v>13</v>
      </c>
      <c r="C26" s="9" t="s">
        <v>14</v>
      </c>
      <c r="D26" s="9" t="s">
        <v>46</v>
      </c>
      <c r="E26" s="9" t="s">
        <v>16</v>
      </c>
      <c r="F26" s="12">
        <v>144321</v>
      </c>
      <c r="G26" s="12">
        <v>21000</v>
      </c>
      <c r="H26" s="12">
        <v>120</v>
      </c>
      <c r="I26" s="12">
        <v>190</v>
      </c>
      <c r="J26" s="12">
        <v>150</v>
      </c>
      <c r="K26" s="11">
        <f t="shared" si="0"/>
        <v>0.14869630892247143</v>
      </c>
      <c r="L26" s="12" t="str">
        <f t="shared" si="1"/>
        <v>June</v>
      </c>
      <c r="M26" s="12">
        <f t="shared" si="2"/>
        <v>21460.148696308923</v>
      </c>
    </row>
    <row r="27" spans="1:13" ht="43.2" x14ac:dyDescent="0.3">
      <c r="A27" s="13">
        <v>45471</v>
      </c>
      <c r="B27" s="14" t="s">
        <v>17</v>
      </c>
      <c r="C27" s="9" t="s">
        <v>18</v>
      </c>
      <c r="D27" s="9" t="s">
        <v>47</v>
      </c>
      <c r="E27" s="9" t="s">
        <v>20</v>
      </c>
      <c r="F27" s="12">
        <v>160000</v>
      </c>
      <c r="G27" s="12">
        <v>24000</v>
      </c>
      <c r="H27" s="12">
        <v>130</v>
      </c>
      <c r="I27" s="12">
        <v>210</v>
      </c>
      <c r="J27" s="12">
        <v>170</v>
      </c>
      <c r="K27" s="11">
        <f t="shared" si="0"/>
        <v>0.1531875</v>
      </c>
      <c r="L27" s="12" t="str">
        <f t="shared" si="1"/>
        <v>June</v>
      </c>
      <c r="M27" s="12">
        <f t="shared" si="2"/>
        <v>24510.1531875</v>
      </c>
    </row>
    <row r="28" spans="1:13" ht="43.2" x14ac:dyDescent="0.3">
      <c r="A28" s="13">
        <v>45478</v>
      </c>
      <c r="B28" s="14" t="s">
        <v>13</v>
      </c>
      <c r="C28" s="9" t="s">
        <v>21</v>
      </c>
      <c r="D28" s="9" t="s">
        <v>48</v>
      </c>
      <c r="E28" s="9" t="s">
        <v>16</v>
      </c>
      <c r="F28" s="12">
        <v>119876</v>
      </c>
      <c r="G28" s="12">
        <v>18000</v>
      </c>
      <c r="H28" s="12">
        <v>80</v>
      </c>
      <c r="I28" s="12">
        <v>160</v>
      </c>
      <c r="J28" s="12">
        <v>120</v>
      </c>
      <c r="K28" s="11">
        <f t="shared" si="0"/>
        <v>0.15315826353899029</v>
      </c>
      <c r="L28" s="12" t="str">
        <f t="shared" si="1"/>
        <v>July</v>
      </c>
      <c r="M28" s="12">
        <f t="shared" si="2"/>
        <v>18360.15315826354</v>
      </c>
    </row>
    <row r="29" spans="1:13" ht="43.2" x14ac:dyDescent="0.3">
      <c r="A29" s="13">
        <v>45485</v>
      </c>
      <c r="B29" s="14" t="s">
        <v>17</v>
      </c>
      <c r="C29" s="9" t="s">
        <v>14</v>
      </c>
      <c r="D29" s="9" t="s">
        <v>49</v>
      </c>
      <c r="E29" s="9" t="s">
        <v>20</v>
      </c>
      <c r="F29" s="12">
        <v>130432</v>
      </c>
      <c r="G29" s="12">
        <v>21000</v>
      </c>
      <c r="H29" s="12">
        <v>100</v>
      </c>
      <c r="I29" s="12">
        <v>180</v>
      </c>
      <c r="J29" s="12">
        <v>130</v>
      </c>
      <c r="K29" s="11">
        <f t="shared" si="0"/>
        <v>0.16414683513248282</v>
      </c>
      <c r="L29" s="12" t="str">
        <f t="shared" si="1"/>
        <v>July</v>
      </c>
      <c r="M29" s="12">
        <f t="shared" si="2"/>
        <v>21410.164146835134</v>
      </c>
    </row>
    <row r="30" spans="1:13" ht="43.2" x14ac:dyDescent="0.3">
      <c r="A30" s="13">
        <v>45492</v>
      </c>
      <c r="B30" s="14" t="s">
        <v>13</v>
      </c>
      <c r="C30" s="9" t="s">
        <v>18</v>
      </c>
      <c r="D30" s="9" t="s">
        <v>50</v>
      </c>
      <c r="E30" s="9" t="s">
        <v>16</v>
      </c>
      <c r="F30" s="12">
        <v>137890</v>
      </c>
      <c r="G30" s="12">
        <v>22000</v>
      </c>
      <c r="H30" s="12">
        <v>120</v>
      </c>
      <c r="I30" s="12">
        <v>200</v>
      </c>
      <c r="J30" s="12">
        <v>150</v>
      </c>
      <c r="K30" s="11">
        <f t="shared" si="0"/>
        <v>0.16295597940387266</v>
      </c>
      <c r="L30" s="12" t="str">
        <f t="shared" si="1"/>
        <v>July</v>
      </c>
      <c r="M30" s="12">
        <f t="shared" si="2"/>
        <v>22470.162955979406</v>
      </c>
    </row>
    <row r="31" spans="1:13" ht="28.8" x14ac:dyDescent="0.3">
      <c r="A31" s="13">
        <v>45499</v>
      </c>
      <c r="B31" s="14" t="s">
        <v>17</v>
      </c>
      <c r="C31" s="9" t="s">
        <v>21</v>
      </c>
      <c r="D31" s="9" t="s">
        <v>51</v>
      </c>
      <c r="E31" s="9" t="s">
        <v>20</v>
      </c>
      <c r="F31" s="12">
        <v>124567</v>
      </c>
      <c r="G31" s="12">
        <v>19000</v>
      </c>
      <c r="H31" s="12">
        <v>90</v>
      </c>
      <c r="I31" s="12">
        <v>170</v>
      </c>
      <c r="J31" s="12">
        <v>140</v>
      </c>
      <c r="K31" s="11">
        <f t="shared" si="0"/>
        <v>0.15573948156413817</v>
      </c>
      <c r="L31" s="12" t="str">
        <f t="shared" si="1"/>
        <v>July</v>
      </c>
      <c r="M31" s="12">
        <f t="shared" si="2"/>
        <v>19400.155739481565</v>
      </c>
    </row>
    <row r="32" spans="1:13" ht="43.2" x14ac:dyDescent="0.3">
      <c r="A32" s="13">
        <v>45506</v>
      </c>
      <c r="B32" s="14" t="s">
        <v>13</v>
      </c>
      <c r="C32" s="9" t="s">
        <v>14</v>
      </c>
      <c r="D32" s="9" t="s">
        <v>52</v>
      </c>
      <c r="E32" s="9" t="s">
        <v>16</v>
      </c>
      <c r="F32" s="12">
        <v>116432</v>
      </c>
      <c r="G32" s="12">
        <v>15000</v>
      </c>
      <c r="H32" s="12">
        <v>70</v>
      </c>
      <c r="I32" s="12">
        <v>160</v>
      </c>
      <c r="J32" s="12">
        <v>120</v>
      </c>
      <c r="K32" s="11">
        <f t="shared" si="0"/>
        <v>0.13183660849251064</v>
      </c>
      <c r="L32" s="12" t="str">
        <f t="shared" si="1"/>
        <v>August</v>
      </c>
      <c r="M32" s="12">
        <f t="shared" si="2"/>
        <v>15350.131836608492</v>
      </c>
    </row>
    <row r="33" spans="1:13" ht="57.6" x14ac:dyDescent="0.3">
      <c r="A33" s="13">
        <v>45513</v>
      </c>
      <c r="B33" s="14" t="s">
        <v>17</v>
      </c>
      <c r="C33" s="9" t="s">
        <v>18</v>
      </c>
      <c r="D33" s="9" t="s">
        <v>53</v>
      </c>
      <c r="E33" s="9" t="s">
        <v>20</v>
      </c>
      <c r="F33" s="12">
        <v>132089</v>
      </c>
      <c r="G33" s="12">
        <v>18000</v>
      </c>
      <c r="H33" s="12">
        <v>90</v>
      </c>
      <c r="I33" s="12">
        <v>160</v>
      </c>
      <c r="J33" s="12">
        <v>130</v>
      </c>
      <c r="K33" s="11">
        <f t="shared" si="0"/>
        <v>0.13914860435009729</v>
      </c>
      <c r="L33" s="12" t="str">
        <f t="shared" si="1"/>
        <v>August</v>
      </c>
      <c r="M33" s="12">
        <f t="shared" si="2"/>
        <v>18380.13914860435</v>
      </c>
    </row>
    <row r="34" spans="1:13" ht="43.2" x14ac:dyDescent="0.3">
      <c r="A34" s="13">
        <v>45520</v>
      </c>
      <c r="B34" s="14" t="s">
        <v>13</v>
      </c>
      <c r="C34" s="9" t="s">
        <v>21</v>
      </c>
      <c r="D34" s="9" t="s">
        <v>54</v>
      </c>
      <c r="E34" s="9" t="s">
        <v>16</v>
      </c>
      <c r="F34" s="12">
        <v>119876</v>
      </c>
      <c r="G34" s="12">
        <v>17000</v>
      </c>
      <c r="H34" s="12">
        <v>80</v>
      </c>
      <c r="I34" s="12">
        <v>150</v>
      </c>
      <c r="J34" s="12">
        <v>110</v>
      </c>
      <c r="K34" s="11">
        <f t="shared" si="0"/>
        <v>0.1446494711201575</v>
      </c>
      <c r="L34" s="12" t="str">
        <f t="shared" si="1"/>
        <v>August</v>
      </c>
      <c r="M34" s="12">
        <f t="shared" si="2"/>
        <v>17340.14464947112</v>
      </c>
    </row>
    <row r="35" spans="1:13" ht="28.8" x14ac:dyDescent="0.3">
      <c r="A35" s="13">
        <v>45527</v>
      </c>
      <c r="B35" s="14" t="s">
        <v>17</v>
      </c>
      <c r="C35" s="9" t="s">
        <v>14</v>
      </c>
      <c r="D35" s="9" t="s">
        <v>55</v>
      </c>
      <c r="E35" s="9" t="s">
        <v>20</v>
      </c>
      <c r="F35" s="12">
        <v>130000</v>
      </c>
      <c r="G35" s="12">
        <v>19000</v>
      </c>
      <c r="H35" s="12">
        <v>120</v>
      </c>
      <c r="I35" s="12">
        <v>180</v>
      </c>
      <c r="J35" s="12">
        <v>150</v>
      </c>
      <c r="K35" s="11">
        <f t="shared" si="0"/>
        <v>0.14961538461538462</v>
      </c>
      <c r="L35" s="12" t="str">
        <f t="shared" si="1"/>
        <v>August</v>
      </c>
      <c r="M35" s="12">
        <f t="shared" si="2"/>
        <v>19450.149615384616</v>
      </c>
    </row>
    <row r="36" spans="1:13" ht="43.2" x14ac:dyDescent="0.3">
      <c r="A36" s="13">
        <v>45534</v>
      </c>
      <c r="B36" s="14" t="s">
        <v>13</v>
      </c>
      <c r="C36" s="9" t="s">
        <v>18</v>
      </c>
      <c r="D36" s="9" t="s">
        <v>56</v>
      </c>
      <c r="E36" s="9" t="s">
        <v>16</v>
      </c>
      <c r="F36" s="12">
        <v>126543</v>
      </c>
      <c r="G36" s="12">
        <v>18000</v>
      </c>
      <c r="H36" s="12">
        <v>90</v>
      </c>
      <c r="I36" s="12">
        <v>160</v>
      </c>
      <c r="J36" s="12">
        <v>130</v>
      </c>
      <c r="K36" s="11">
        <f t="shared" si="0"/>
        <v>0.14524707016587246</v>
      </c>
      <c r="L36" s="12" t="str">
        <f t="shared" si="1"/>
        <v>August</v>
      </c>
      <c r="M36" s="12">
        <f t="shared" si="2"/>
        <v>18380.145247070166</v>
      </c>
    </row>
    <row r="37" spans="1:13" ht="28.8" x14ac:dyDescent="0.3">
      <c r="A37" s="13">
        <v>45541</v>
      </c>
      <c r="B37" s="14" t="s">
        <v>17</v>
      </c>
      <c r="C37" s="9" t="s">
        <v>21</v>
      </c>
      <c r="D37" s="9" t="s">
        <v>57</v>
      </c>
      <c r="E37" s="9" t="s">
        <v>20</v>
      </c>
      <c r="F37" s="12">
        <v>140987</v>
      </c>
      <c r="G37" s="12">
        <v>22000</v>
      </c>
      <c r="H37" s="12">
        <v>120</v>
      </c>
      <c r="I37" s="12">
        <v>200</v>
      </c>
      <c r="J37" s="12">
        <v>150</v>
      </c>
      <c r="K37" s="11">
        <f t="shared" si="0"/>
        <v>0.15937639640534235</v>
      </c>
      <c r="L37" s="12" t="str">
        <f t="shared" si="1"/>
        <v>September</v>
      </c>
      <c r="M37" s="12">
        <f t="shared" si="2"/>
        <v>22470.159376396405</v>
      </c>
    </row>
    <row r="38" spans="1:13" ht="28.8" x14ac:dyDescent="0.3">
      <c r="A38" s="13">
        <v>45548</v>
      </c>
      <c r="B38" s="14" t="s">
        <v>13</v>
      </c>
      <c r="C38" s="9" t="s">
        <v>14</v>
      </c>
      <c r="D38" s="9" t="s">
        <v>58</v>
      </c>
      <c r="E38" s="9" t="s">
        <v>16</v>
      </c>
      <c r="F38" s="12">
        <v>134567</v>
      </c>
      <c r="G38" s="12">
        <v>20000</v>
      </c>
      <c r="H38" s="12">
        <v>110</v>
      </c>
      <c r="I38" s="12">
        <v>180</v>
      </c>
      <c r="J38" s="12">
        <v>140</v>
      </c>
      <c r="K38" s="11">
        <f t="shared" si="0"/>
        <v>0.15182028283308685</v>
      </c>
      <c r="L38" s="12" t="str">
        <f t="shared" si="1"/>
        <v>September</v>
      </c>
      <c r="M38" s="12">
        <f t="shared" si="2"/>
        <v>20430.151820282834</v>
      </c>
    </row>
    <row r="39" spans="1:13" ht="43.2" x14ac:dyDescent="0.3">
      <c r="A39" s="13">
        <v>45555</v>
      </c>
      <c r="B39" s="14" t="s">
        <v>17</v>
      </c>
      <c r="C39" s="9" t="s">
        <v>18</v>
      </c>
      <c r="D39" s="9" t="s">
        <v>59</v>
      </c>
      <c r="E39" s="9" t="s">
        <v>20</v>
      </c>
      <c r="F39" s="12">
        <v>156890</v>
      </c>
      <c r="G39" s="12">
        <v>24000</v>
      </c>
      <c r="H39" s="12">
        <v>130</v>
      </c>
      <c r="I39" s="12">
        <v>210</v>
      </c>
      <c r="J39" s="12">
        <v>170</v>
      </c>
      <c r="K39" s="11">
        <f t="shared" si="0"/>
        <v>0.1562241060615718</v>
      </c>
      <c r="L39" s="12" t="str">
        <f t="shared" si="1"/>
        <v>September</v>
      </c>
      <c r="M39" s="12">
        <f t="shared" si="2"/>
        <v>24510.15622410606</v>
      </c>
    </row>
    <row r="40" spans="1:13" ht="28.8" x14ac:dyDescent="0.3">
      <c r="A40" s="13">
        <v>45562</v>
      </c>
      <c r="B40" s="14" t="s">
        <v>13</v>
      </c>
      <c r="C40" s="9" t="s">
        <v>21</v>
      </c>
      <c r="D40" s="9" t="s">
        <v>60</v>
      </c>
      <c r="E40" s="9" t="s">
        <v>16</v>
      </c>
      <c r="F40" s="12">
        <v>148432</v>
      </c>
      <c r="G40" s="12">
        <v>23000</v>
      </c>
      <c r="H40" s="12">
        <v>120</v>
      </c>
      <c r="I40" s="12">
        <v>210</v>
      </c>
      <c r="J40" s="12">
        <v>160</v>
      </c>
      <c r="K40" s="11">
        <f t="shared" si="0"/>
        <v>0.1582542847903417</v>
      </c>
      <c r="L40" s="12" t="str">
        <f t="shared" si="1"/>
        <v>September</v>
      </c>
      <c r="M40" s="12">
        <f t="shared" si="2"/>
        <v>23490.15825428479</v>
      </c>
    </row>
    <row r="41" spans="1:13" ht="43.2" x14ac:dyDescent="0.3">
      <c r="A41" s="13">
        <v>45569</v>
      </c>
      <c r="B41" s="14" t="s">
        <v>17</v>
      </c>
      <c r="C41" s="9" t="s">
        <v>14</v>
      </c>
      <c r="D41" s="9" t="s">
        <v>61</v>
      </c>
      <c r="E41" s="9" t="s">
        <v>20</v>
      </c>
      <c r="F41" s="12">
        <v>167893</v>
      </c>
      <c r="G41" s="12">
        <v>26000</v>
      </c>
      <c r="H41" s="12">
        <v>140</v>
      </c>
      <c r="I41" s="12">
        <v>230</v>
      </c>
      <c r="J41" s="12">
        <v>180</v>
      </c>
      <c r="K41" s="11">
        <f t="shared" si="0"/>
        <v>0.15813643213237003</v>
      </c>
      <c r="L41" s="12" t="str">
        <f t="shared" si="1"/>
        <v>October</v>
      </c>
      <c r="M41" s="12">
        <f t="shared" si="2"/>
        <v>26550.158136432132</v>
      </c>
    </row>
    <row r="42" spans="1:13" ht="43.2" x14ac:dyDescent="0.3">
      <c r="A42" s="13">
        <v>45576</v>
      </c>
      <c r="B42" s="14" t="s">
        <v>13</v>
      </c>
      <c r="C42" s="9" t="s">
        <v>18</v>
      </c>
      <c r="D42" s="9" t="s">
        <v>62</v>
      </c>
      <c r="E42" s="9" t="s">
        <v>16</v>
      </c>
      <c r="F42" s="12">
        <v>154321</v>
      </c>
      <c r="G42" s="12">
        <v>24000</v>
      </c>
      <c r="H42" s="12">
        <v>130</v>
      </c>
      <c r="I42" s="12">
        <v>220</v>
      </c>
      <c r="J42" s="12">
        <v>180</v>
      </c>
      <c r="K42" s="11">
        <f t="shared" si="0"/>
        <v>0.15895438728364902</v>
      </c>
      <c r="L42" s="12" t="str">
        <f t="shared" si="1"/>
        <v>October</v>
      </c>
      <c r="M42" s="12">
        <f t="shared" si="2"/>
        <v>24530.158954387283</v>
      </c>
    </row>
    <row r="43" spans="1:13" ht="43.2" x14ac:dyDescent="0.3">
      <c r="A43" s="13">
        <v>45583</v>
      </c>
      <c r="B43" s="14" t="s">
        <v>17</v>
      </c>
      <c r="C43" s="9" t="s">
        <v>21</v>
      </c>
      <c r="D43" s="9" t="s">
        <v>63</v>
      </c>
      <c r="E43" s="9" t="s">
        <v>20</v>
      </c>
      <c r="F43" s="12">
        <v>162431</v>
      </c>
      <c r="G43" s="12">
        <v>26000</v>
      </c>
      <c r="H43" s="12">
        <v>150</v>
      </c>
      <c r="I43" s="12">
        <v>230</v>
      </c>
      <c r="J43" s="12">
        <v>190</v>
      </c>
      <c r="K43" s="11">
        <f t="shared" si="0"/>
        <v>0.16357714968201884</v>
      </c>
      <c r="L43" s="12" t="str">
        <f t="shared" si="1"/>
        <v>October</v>
      </c>
      <c r="M43" s="12">
        <f t="shared" si="2"/>
        <v>26570.16357714968</v>
      </c>
    </row>
    <row r="44" spans="1:13" ht="43.2" x14ac:dyDescent="0.3">
      <c r="A44" s="13">
        <v>45590</v>
      </c>
      <c r="B44" s="14" t="s">
        <v>13</v>
      </c>
      <c r="C44" s="9" t="s">
        <v>14</v>
      </c>
      <c r="D44" s="9" t="s">
        <v>64</v>
      </c>
      <c r="E44" s="9" t="s">
        <v>16</v>
      </c>
      <c r="F44" s="12">
        <v>145234</v>
      </c>
      <c r="G44" s="12">
        <v>22000</v>
      </c>
      <c r="H44" s="12">
        <v>130</v>
      </c>
      <c r="I44" s="12">
        <v>200</v>
      </c>
      <c r="J44" s="12">
        <v>170</v>
      </c>
      <c r="K44" s="11">
        <f t="shared" si="0"/>
        <v>0.15492240109065369</v>
      </c>
      <c r="L44" s="12" t="str">
        <f t="shared" si="1"/>
        <v>October</v>
      </c>
      <c r="M44" s="12">
        <f t="shared" si="2"/>
        <v>22500.154922401092</v>
      </c>
    </row>
    <row r="45" spans="1:13" ht="28.8" x14ac:dyDescent="0.3">
      <c r="A45" s="13">
        <v>45597</v>
      </c>
      <c r="B45" s="14" t="s">
        <v>17</v>
      </c>
      <c r="C45" s="9" t="s">
        <v>18</v>
      </c>
      <c r="D45" s="9" t="s">
        <v>65</v>
      </c>
      <c r="E45" s="9" t="s">
        <v>20</v>
      </c>
      <c r="F45" s="12">
        <v>178234</v>
      </c>
      <c r="G45" s="12">
        <v>27000</v>
      </c>
      <c r="H45" s="12">
        <v>150</v>
      </c>
      <c r="I45" s="12">
        <v>240</v>
      </c>
      <c r="J45" s="12">
        <v>200</v>
      </c>
      <c r="K45" s="11">
        <f t="shared" si="0"/>
        <v>0.1547965034729625</v>
      </c>
      <c r="L45" s="12" t="str">
        <f t="shared" si="1"/>
        <v>November</v>
      </c>
      <c r="M45" s="12">
        <f t="shared" si="2"/>
        <v>27590.154796503473</v>
      </c>
    </row>
    <row r="46" spans="1:13" ht="43.2" x14ac:dyDescent="0.3">
      <c r="A46" s="13">
        <v>45604</v>
      </c>
      <c r="B46" s="14" t="s">
        <v>13</v>
      </c>
      <c r="C46" s="9" t="s">
        <v>21</v>
      </c>
      <c r="D46" s="9" t="s">
        <v>66</v>
      </c>
      <c r="E46" s="9" t="s">
        <v>16</v>
      </c>
      <c r="F46" s="12">
        <v>163432</v>
      </c>
      <c r="G46" s="12">
        <v>25000</v>
      </c>
      <c r="H46" s="12">
        <v>140</v>
      </c>
      <c r="I46" s="12">
        <v>210</v>
      </c>
      <c r="J46" s="12">
        <v>180</v>
      </c>
      <c r="K46" s="11">
        <f t="shared" si="0"/>
        <v>0.15621175779529101</v>
      </c>
      <c r="L46" s="12" t="str">
        <f t="shared" si="1"/>
        <v>November</v>
      </c>
      <c r="M46" s="12">
        <f t="shared" si="2"/>
        <v>25530.156211757796</v>
      </c>
    </row>
    <row r="47" spans="1:13" ht="43.2" x14ac:dyDescent="0.3">
      <c r="A47" s="13">
        <v>45611</v>
      </c>
      <c r="B47" s="14" t="s">
        <v>17</v>
      </c>
      <c r="C47" s="9" t="s">
        <v>14</v>
      </c>
      <c r="D47" s="9" t="s">
        <v>67</v>
      </c>
      <c r="E47" s="9" t="s">
        <v>20</v>
      </c>
      <c r="F47" s="12">
        <v>192431</v>
      </c>
      <c r="G47" s="12">
        <v>28000</v>
      </c>
      <c r="H47" s="12">
        <v>160</v>
      </c>
      <c r="I47" s="12">
        <v>250</v>
      </c>
      <c r="J47" s="12">
        <v>210</v>
      </c>
      <c r="K47" s="11">
        <f t="shared" si="0"/>
        <v>0.14872863519911034</v>
      </c>
      <c r="L47" s="12" t="str">
        <f t="shared" si="1"/>
        <v>November</v>
      </c>
      <c r="M47" s="12">
        <f t="shared" si="2"/>
        <v>28620.148728635198</v>
      </c>
    </row>
    <row r="48" spans="1:13" ht="43.2" x14ac:dyDescent="0.3">
      <c r="A48" s="13">
        <v>45618</v>
      </c>
      <c r="B48" s="14" t="s">
        <v>13</v>
      </c>
      <c r="C48" s="9" t="s">
        <v>18</v>
      </c>
      <c r="D48" s="9" t="s">
        <v>68</v>
      </c>
      <c r="E48" s="9" t="s">
        <v>16</v>
      </c>
      <c r="F48" s="12">
        <v>178932</v>
      </c>
      <c r="G48" s="12">
        <v>26000</v>
      </c>
      <c r="H48" s="12">
        <v>140</v>
      </c>
      <c r="I48" s="12">
        <v>230</v>
      </c>
      <c r="J48" s="12">
        <v>200</v>
      </c>
      <c r="K48" s="11">
        <f t="shared" si="0"/>
        <v>0.14849216462119688</v>
      </c>
      <c r="L48" s="12" t="str">
        <f t="shared" si="1"/>
        <v>November</v>
      </c>
      <c r="M48" s="12">
        <f t="shared" si="2"/>
        <v>26570.148492164622</v>
      </c>
    </row>
    <row r="49" spans="1:13" ht="43.2" x14ac:dyDescent="0.3">
      <c r="A49" s="13">
        <v>45625</v>
      </c>
      <c r="B49" s="14" t="s">
        <v>17</v>
      </c>
      <c r="C49" s="9" t="s">
        <v>21</v>
      </c>
      <c r="D49" s="9" t="s">
        <v>69</v>
      </c>
      <c r="E49" s="9" t="s">
        <v>20</v>
      </c>
      <c r="F49" s="12">
        <v>184537</v>
      </c>
      <c r="G49" s="12">
        <v>27000</v>
      </c>
      <c r="H49" s="12">
        <v>150</v>
      </c>
      <c r="I49" s="12">
        <v>240</v>
      </c>
      <c r="J49" s="12">
        <v>210</v>
      </c>
      <c r="K49" s="11">
        <f t="shared" si="0"/>
        <v>0.14956350217029646</v>
      </c>
      <c r="L49" s="12" t="str">
        <f t="shared" si="1"/>
        <v>November</v>
      </c>
      <c r="M49" s="12">
        <f t="shared" si="2"/>
        <v>27600.149563502171</v>
      </c>
    </row>
    <row r="50" spans="1:13" ht="43.2" x14ac:dyDescent="0.3">
      <c r="A50" s="13">
        <v>45632</v>
      </c>
      <c r="B50" s="14" t="s">
        <v>13</v>
      </c>
      <c r="C50" s="9" t="s">
        <v>14</v>
      </c>
      <c r="D50" s="9" t="s">
        <v>70</v>
      </c>
      <c r="E50" s="9" t="s">
        <v>16</v>
      </c>
      <c r="F50" s="12">
        <v>192347</v>
      </c>
      <c r="G50" s="12">
        <v>28000</v>
      </c>
      <c r="H50" s="12">
        <v>160</v>
      </c>
      <c r="I50" s="12">
        <v>250</v>
      </c>
      <c r="J50" s="12">
        <v>220</v>
      </c>
      <c r="K50" s="11">
        <f t="shared" si="0"/>
        <v>0.14884557596427289</v>
      </c>
      <c r="L50" s="12" t="str">
        <f t="shared" si="1"/>
        <v>December</v>
      </c>
      <c r="M50" s="12">
        <f t="shared" si="2"/>
        <v>28630.148845575965</v>
      </c>
    </row>
    <row r="51" spans="1:13" ht="43.2" x14ac:dyDescent="0.3">
      <c r="A51" s="13">
        <v>45639</v>
      </c>
      <c r="B51" s="14" t="s">
        <v>17</v>
      </c>
      <c r="C51" s="9" t="s">
        <v>18</v>
      </c>
      <c r="D51" s="9" t="s">
        <v>71</v>
      </c>
      <c r="E51" s="9" t="s">
        <v>20</v>
      </c>
      <c r="F51" s="12">
        <v>210432</v>
      </c>
      <c r="G51" s="12">
        <v>32000</v>
      </c>
      <c r="H51" s="12">
        <v>180</v>
      </c>
      <c r="I51" s="12">
        <v>280</v>
      </c>
      <c r="J51" s="12">
        <v>230</v>
      </c>
      <c r="K51" s="11">
        <f t="shared" si="0"/>
        <v>0.15534709549878345</v>
      </c>
      <c r="L51" s="12" t="str">
        <f t="shared" si="1"/>
        <v>December</v>
      </c>
      <c r="M51" s="12">
        <f t="shared" si="2"/>
        <v>32690.1553470955</v>
      </c>
    </row>
    <row r="52" spans="1:13" ht="43.2" x14ac:dyDescent="0.3">
      <c r="A52" s="13">
        <v>45646</v>
      </c>
      <c r="B52" s="14" t="s">
        <v>13</v>
      </c>
      <c r="C52" s="9" t="s">
        <v>21</v>
      </c>
      <c r="D52" s="9" t="s">
        <v>72</v>
      </c>
      <c r="E52" s="9" t="s">
        <v>16</v>
      </c>
      <c r="F52" s="12">
        <v>197543</v>
      </c>
      <c r="G52" s="12">
        <v>31000</v>
      </c>
      <c r="H52" s="12">
        <v>170</v>
      </c>
      <c r="I52" s="12">
        <v>260</v>
      </c>
      <c r="J52" s="12">
        <v>220</v>
      </c>
      <c r="K52" s="11">
        <f t="shared" si="0"/>
        <v>0.16021828158932486</v>
      </c>
      <c r="L52" s="12" t="str">
        <f t="shared" si="1"/>
        <v>December</v>
      </c>
      <c r="M52" s="12">
        <f t="shared" si="2"/>
        <v>31650.160218281588</v>
      </c>
    </row>
    <row r="53" spans="1:13" ht="43.2" x14ac:dyDescent="0.3">
      <c r="A53" s="13">
        <v>45653</v>
      </c>
      <c r="B53" s="14" t="s">
        <v>17</v>
      </c>
      <c r="C53" s="9" t="s">
        <v>14</v>
      </c>
      <c r="D53" s="9" t="s">
        <v>73</v>
      </c>
      <c r="E53" s="9" t="s">
        <v>20</v>
      </c>
      <c r="F53" s="12">
        <v>184654</v>
      </c>
      <c r="G53" s="12">
        <v>29000</v>
      </c>
      <c r="H53" s="12">
        <v>160</v>
      </c>
      <c r="I53" s="12">
        <v>240</v>
      </c>
      <c r="J53" s="12">
        <v>210</v>
      </c>
      <c r="K53" s="11">
        <f t="shared" si="0"/>
        <v>0.16035395929684707</v>
      </c>
      <c r="L53" s="12" t="str">
        <f t="shared" si="1"/>
        <v>December</v>
      </c>
      <c r="M53" s="12">
        <f t="shared" si="2"/>
        <v>29610.160353959298</v>
      </c>
    </row>
  </sheetData>
  <conditionalFormatting sqref="B1:B3">
    <cfRule type="cellIs" dxfId="52" priority="10" operator="equal">
      <formula>"TikTok"</formula>
    </cfRule>
    <cfRule type="cellIs" dxfId="51" priority="11" operator="equal">
      <formula>"Instagram"</formula>
    </cfRule>
  </conditionalFormatting>
  <conditionalFormatting sqref="B1:B53">
    <cfRule type="cellIs" dxfId="50" priority="1" operator="equal">
      <formula>"TikTok"</formula>
    </cfRule>
    <cfRule type="cellIs" dxfId="49" priority="2" operator="equal">
      <formula>"Instagram"</formula>
    </cfRule>
    <cfRule type="cellIs" dxfId="48" priority="3" operator="equal">
      <formula>"Instagram"</formula>
    </cfRule>
    <cfRule type="cellIs" dxfId="47" priority="4" operator="equal">
      <formula>"Instagram"</formula>
    </cfRule>
    <cfRule type="cellIs" dxfId="46" priority="5" operator="equal">
      <formula>"Instagram"</formula>
    </cfRule>
    <cfRule type="cellIs" dxfId="45" priority="6" operator="equal">
      <formula>"TikTok"</formula>
    </cfRule>
    <cfRule type="cellIs" dxfId="44" priority="7" operator="equal">
      <formula>"TikTok"</formula>
    </cfRule>
    <cfRule type="cellIs" dxfId="43" priority="8" operator="equal">
      <formula>"Instagram"</formula>
    </cfRule>
    <cfRule type="cellIs" dxfId="42" priority="9" operator="equal">
      <formula>"Instagram"</formula>
    </cfRule>
  </conditionalFormatting>
  <dataValidations count="3">
    <dataValidation type="list" allowBlank="1" showInputMessage="1" showErrorMessage="1" sqref="C1:C53" xr:uid="{25B17C5C-568A-4245-A13E-57BAB974454D}">
      <formula1>"Unboxing, Product Swatch, Aesthetic Shots"</formula1>
    </dataValidation>
    <dataValidation type="list" allowBlank="1" showInputMessage="1" showErrorMessage="1" sqref="B1:B53" xr:uid="{38FAC633-4C0E-4558-8951-92F01843F36A}">
      <formula1>"Instagram, TikTok"</formula1>
    </dataValidation>
    <dataValidation type="list" allowBlank="1" showInputMessage="1" showErrorMessage="1" sqref="E1:E3" xr:uid="{D5FCC686-2904-4C02-A42C-235899BDEB61}">
      <formula1>"Post, Video, Story"</formula1>
    </dataValidation>
  </dataValidations>
  <pageMargins left="0.7" right="0.7" top="0.75" bottom="0.75" header="0.3" footer="0.3"/>
  <ignoredErrors>
    <ignoredError sqref="B1:C1 E1" listDataValidatio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959D-9995-4215-8CCB-61E0150F15A7}">
  <dimension ref="B4:H19"/>
  <sheetViews>
    <sheetView showGridLines="0" workbookViewId="0">
      <selection activeCell="K38" sqref="K38"/>
    </sheetView>
  </sheetViews>
  <sheetFormatPr defaultRowHeight="14.4" x14ac:dyDescent="0.3"/>
  <cols>
    <col min="1" max="1" width="6.6640625" customWidth="1"/>
    <col min="2" max="2" width="21.5546875" bestFit="1" customWidth="1"/>
    <col min="3" max="3" width="17.21875" bestFit="1" customWidth="1"/>
    <col min="4" max="4" width="10.21875" bestFit="1" customWidth="1"/>
    <col min="5" max="5" width="11.33203125" bestFit="1" customWidth="1"/>
    <col min="6" max="6" width="8.44140625" customWidth="1"/>
    <col min="7" max="7" width="14.44140625" bestFit="1" customWidth="1"/>
    <col min="8" max="8" width="20.109375" bestFit="1" customWidth="1"/>
    <col min="9" max="9" width="8.5546875" customWidth="1"/>
    <col min="10" max="10" width="28.88671875" bestFit="1" customWidth="1"/>
    <col min="11" max="11" width="23" bestFit="1" customWidth="1"/>
    <col min="12" max="12" width="8.109375" customWidth="1"/>
    <col min="13" max="13" width="6.5546875" customWidth="1"/>
    <col min="14" max="14" width="6.6640625" customWidth="1"/>
    <col min="15" max="16" width="6.5546875" customWidth="1"/>
    <col min="17" max="17" width="6.6640625" customWidth="1"/>
    <col min="18" max="18" width="5.109375" bestFit="1" customWidth="1"/>
    <col min="19" max="19" width="6.33203125" customWidth="1"/>
    <col min="20" max="20" width="6.109375" bestFit="1" customWidth="1"/>
    <col min="21" max="21" width="8.33203125" customWidth="1"/>
    <col min="22" max="22" width="8.6640625" customWidth="1"/>
    <col min="23" max="23" width="9.6640625" customWidth="1"/>
    <col min="24" max="24" width="11.6640625" bestFit="1" customWidth="1"/>
    <col min="25" max="25" width="14.88671875" bestFit="1" customWidth="1"/>
    <col min="26" max="27" width="8.5546875" bestFit="1" customWidth="1"/>
    <col min="28" max="28" width="11.5546875" bestFit="1" customWidth="1"/>
    <col min="29" max="29" width="10" bestFit="1" customWidth="1"/>
    <col min="30" max="30" width="8.5546875" bestFit="1" customWidth="1"/>
    <col min="31" max="31" width="11.5546875" bestFit="1" customWidth="1"/>
    <col min="32" max="32" width="9.44140625" bestFit="1" customWidth="1"/>
    <col min="33" max="33" width="11.33203125" bestFit="1" customWidth="1"/>
  </cols>
  <sheetData>
    <row r="4" spans="2:8" x14ac:dyDescent="0.3">
      <c r="B4" s="15" t="s">
        <v>74</v>
      </c>
      <c r="G4" s="16" t="s">
        <v>75</v>
      </c>
      <c r="H4" s="17"/>
    </row>
    <row r="5" spans="2:8" x14ac:dyDescent="0.3">
      <c r="B5" s="21" t="s">
        <v>78</v>
      </c>
      <c r="C5" s="21" t="s">
        <v>76</v>
      </c>
      <c r="D5" s="17"/>
      <c r="G5" s="21" t="s">
        <v>77</v>
      </c>
      <c r="H5" s="17" t="s">
        <v>78</v>
      </c>
    </row>
    <row r="6" spans="2:8" x14ac:dyDescent="0.3">
      <c r="B6" s="21" t="s">
        <v>77</v>
      </c>
      <c r="C6" s="17" t="s">
        <v>13</v>
      </c>
      <c r="D6" s="17" t="s">
        <v>79</v>
      </c>
      <c r="G6" s="17" t="s">
        <v>21</v>
      </c>
      <c r="H6" s="18">
        <v>0.16021828158932486</v>
      </c>
    </row>
    <row r="7" spans="2:8" x14ac:dyDescent="0.3">
      <c r="B7" s="17" t="s">
        <v>80</v>
      </c>
      <c r="C7" s="18">
        <v>0.1</v>
      </c>
      <c r="D7" s="18">
        <v>0.1</v>
      </c>
      <c r="G7" s="17" t="s">
        <v>14</v>
      </c>
      <c r="H7" s="18">
        <v>0.19</v>
      </c>
    </row>
    <row r="8" spans="2:8" x14ac:dyDescent="0.3">
      <c r="B8" s="17" t="s">
        <v>81</v>
      </c>
      <c r="C8" s="18">
        <v>6.1533333333333336E-2</v>
      </c>
      <c r="D8" s="18">
        <v>6.1533333333333336E-2</v>
      </c>
      <c r="G8" s="17" t="s">
        <v>18</v>
      </c>
      <c r="H8" s="18">
        <v>0.16295597940387266</v>
      </c>
    </row>
    <row r="9" spans="2:8" x14ac:dyDescent="0.3">
      <c r="B9" s="17" t="s">
        <v>82</v>
      </c>
      <c r="C9" s="18">
        <v>0.19</v>
      </c>
      <c r="D9" s="18">
        <v>0.19</v>
      </c>
      <c r="G9" s="17" t="s">
        <v>79</v>
      </c>
      <c r="H9" s="18">
        <v>0.19</v>
      </c>
    </row>
    <row r="10" spans="2:8" x14ac:dyDescent="0.3">
      <c r="B10" s="17" t="s">
        <v>83</v>
      </c>
      <c r="C10" s="18">
        <v>0.10076704434840167</v>
      </c>
      <c r="D10" s="18">
        <v>0.10076704434840167</v>
      </c>
    </row>
    <row r="11" spans="2:8" x14ac:dyDescent="0.3">
      <c r="B11" s="17" t="s">
        <v>84</v>
      </c>
      <c r="C11" s="18">
        <v>0.15879370162796905</v>
      </c>
      <c r="D11" s="18">
        <v>0.15879370162796905</v>
      </c>
    </row>
    <row r="12" spans="2:8" x14ac:dyDescent="0.3">
      <c r="B12" s="17" t="s">
        <v>85</v>
      </c>
      <c r="C12" s="18">
        <v>0.14869630892247143</v>
      </c>
      <c r="D12" s="18">
        <v>0.14869630892247143</v>
      </c>
    </row>
    <row r="13" spans="2:8" x14ac:dyDescent="0.3">
      <c r="B13" s="17" t="s">
        <v>86</v>
      </c>
      <c r="C13" s="18">
        <v>0.16295597940387266</v>
      </c>
      <c r="D13" s="18">
        <v>0.16295597940387266</v>
      </c>
    </row>
    <row r="14" spans="2:8" x14ac:dyDescent="0.3">
      <c r="B14" s="17" t="s">
        <v>87</v>
      </c>
      <c r="C14" s="18">
        <v>0.14524707016587246</v>
      </c>
      <c r="D14" s="18">
        <v>0.14524707016587246</v>
      </c>
    </row>
    <row r="15" spans="2:8" x14ac:dyDescent="0.3">
      <c r="B15" s="17" t="s">
        <v>88</v>
      </c>
      <c r="C15" s="18">
        <v>0.1582542847903417</v>
      </c>
      <c r="D15" s="18">
        <v>0.1582542847903417</v>
      </c>
      <c r="G15" s="16" t="s">
        <v>89</v>
      </c>
    </row>
    <row r="16" spans="2:8" x14ac:dyDescent="0.3">
      <c r="B16" s="17" t="s">
        <v>90</v>
      </c>
      <c r="C16" s="18">
        <v>0.15895438728364902</v>
      </c>
      <c r="D16" s="18">
        <v>0.15895438728364902</v>
      </c>
      <c r="G16" s="21" t="s">
        <v>77</v>
      </c>
      <c r="H16" s="17" t="s">
        <v>91</v>
      </c>
    </row>
    <row r="17" spans="2:8" x14ac:dyDescent="0.3">
      <c r="B17" s="17" t="s">
        <v>92</v>
      </c>
      <c r="C17" s="18">
        <v>0.15621175779529101</v>
      </c>
      <c r="D17" s="18">
        <v>0.15621175779529101</v>
      </c>
      <c r="G17" s="17" t="s">
        <v>13</v>
      </c>
      <c r="H17" s="19">
        <v>519396.39157242869</v>
      </c>
    </row>
    <row r="18" spans="2:8" x14ac:dyDescent="0.3">
      <c r="B18" s="17" t="s">
        <v>93</v>
      </c>
      <c r="C18" s="18">
        <v>0.16021828158932486</v>
      </c>
      <c r="D18" s="18">
        <v>0.16021828158932486</v>
      </c>
      <c r="G18" s="17" t="s">
        <v>79</v>
      </c>
      <c r="H18" s="19">
        <v>519396.39157242869</v>
      </c>
    </row>
    <row r="19" spans="2:8" x14ac:dyDescent="0.3">
      <c r="B19" s="20" t="s">
        <v>79</v>
      </c>
      <c r="C19" s="18">
        <v>0.19</v>
      </c>
      <c r="D19" s="18">
        <v>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99BB1-98CD-4C70-91D6-1071465CD769}">
  <dimension ref="A1:A5"/>
  <sheetViews>
    <sheetView showGridLines="0" tabSelected="1" topLeftCell="A2" zoomScale="90" zoomScaleNormal="90" workbookViewId="0">
      <selection activeCell="A16" sqref="A16"/>
    </sheetView>
  </sheetViews>
  <sheetFormatPr defaultRowHeight="14.4" x14ac:dyDescent="0.3"/>
  <cols>
    <col min="1" max="1" width="8.44140625" customWidth="1"/>
    <col min="2" max="2" width="10.33203125" customWidth="1"/>
    <col min="3" max="3" width="9.6640625" customWidth="1"/>
  </cols>
  <sheetData>
    <row r="1" s="22" customFormat="1" x14ac:dyDescent="0.3"/>
    <row r="2" s="22" customFormat="1" x14ac:dyDescent="0.3"/>
    <row r="3" s="22" customFormat="1" x14ac:dyDescent="0.3"/>
    <row r="4" s="22" customFormat="1" x14ac:dyDescent="0.3"/>
    <row r="5" s="2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Content Tracker</vt:lpstr>
      <vt:lpstr>Summary 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 Muhammed Salik (P69007)</dc:creator>
  <cp:lastModifiedBy>sravanthi91226@outlook.com</cp:lastModifiedBy>
  <dcterms:created xsi:type="dcterms:W3CDTF">2025-02-06T11:44:16Z</dcterms:created>
  <dcterms:modified xsi:type="dcterms:W3CDTF">2026-10-26T09:56:24Z</dcterms:modified>
</cp:coreProperties>
</file>